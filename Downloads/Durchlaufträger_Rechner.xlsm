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Berechnungshilfen\Excel\GS Gerüstung\"/>
    </mc:Choice>
  </mc:AlternateContent>
  <xr:revisionPtr revIDLastSave="0" documentId="13_ncr:1_{228FB9B6-54F9-41D2-9076-7C74B47013AA}" xr6:coauthVersionLast="47" xr6:coauthVersionMax="47" xr10:uidLastSave="{00000000-0000-0000-0000-000000000000}"/>
  <bookViews>
    <workbookView xWindow="1005" yWindow="270" windowWidth="30855" windowHeight="19485" xr2:uid="{00000000-000D-0000-FFFF-FFFF00000000}"/>
  </bookViews>
  <sheets>
    <sheet name="Berechnungen" sheetId="1" r:id="rId1"/>
    <sheet name="Rundungen" sheetId="4" state="hidden" r:id="rId2"/>
    <sheet name="Doka20" sheetId="3" state="hidden" r:id="rId3"/>
    <sheet name="Durchlaufende Träger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" i="1" l="1"/>
  <c r="D28" i="1" s="1" a="1"/>
  <c r="D28" i="1" s="1"/>
  <c r="C28" i="1" s="1"/>
  <c r="D106" i="1"/>
  <c r="F106" i="1" s="1"/>
  <c r="D105" i="1"/>
  <c r="F105" i="1" s="1"/>
  <c r="D104" i="1"/>
  <c r="F104" i="1" s="1"/>
  <c r="D103" i="1"/>
  <c r="F103" i="1" s="1"/>
  <c r="D100" i="1"/>
  <c r="F100" i="1" s="1"/>
  <c r="D102" i="1"/>
  <c r="F102" i="1" s="1"/>
  <c r="D101" i="1"/>
  <c r="F101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G70" i="1"/>
  <c r="H70" i="1" s="1"/>
  <c r="G69" i="1"/>
  <c r="H69" i="1" s="1"/>
  <c r="G23" i="4" a="1"/>
  <c r="A53" i="4" l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G23" i="4"/>
  <c r="H23" i="4" s="1"/>
  <c r="F72" i="1" a="1"/>
  <c r="F72" i="1" s="1"/>
  <c r="D72" i="1" a="1"/>
  <c r="G68" i="1"/>
  <c r="H68" i="1" s="1"/>
  <c r="F15" i="1"/>
  <c r="G67" i="1"/>
  <c r="G66" i="1"/>
  <c r="G65" i="1"/>
  <c r="D15" i="1"/>
  <c r="D8" i="1"/>
  <c r="F13" i="1" s="1"/>
  <c r="D18" i="1" l="1"/>
  <c r="G29" i="1" s="1"/>
  <c r="D29" i="1" s="1" a="1"/>
  <c r="D29" i="1" s="1"/>
  <c r="D20" i="1"/>
  <c r="D19" i="1"/>
  <c r="D25" i="1"/>
  <c r="D24" i="1"/>
  <c r="D22" i="1"/>
  <c r="D21" i="1"/>
  <c r="D23" i="1"/>
  <c r="D52" i="4" a="1"/>
  <c r="D52" i="4" s="1"/>
  <c r="C52" i="4" a="1"/>
  <c r="C52" i="4" s="1"/>
  <c r="D72" i="1"/>
  <c r="H67" i="1"/>
  <c r="H65" i="1"/>
  <c r="D65" i="1" a="1"/>
  <c r="H66" i="1"/>
  <c r="D13" i="1"/>
  <c r="I23" i="4" a="1"/>
  <c r="C29" i="1" l="1"/>
  <c r="B3" i="4"/>
  <c r="G30" i="1"/>
  <c r="F21" i="1"/>
  <c r="F24" i="1"/>
  <c r="F18" i="1"/>
  <c r="F23" i="1"/>
  <c r="F25" i="1"/>
  <c r="F20" i="1"/>
  <c r="F19" i="1"/>
  <c r="F22" i="1"/>
  <c r="I23" i="4"/>
  <c r="D65" i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F65" i="1" a="1"/>
  <c r="F65" i="1" s="1"/>
  <c r="D30" i="1" l="1" a="1"/>
  <c r="D30" i="1" s="1"/>
  <c r="G31" i="1"/>
  <c r="D78" i="1" a="1"/>
  <c r="D78" i="1" s="1"/>
  <c r="D107" i="1" a="1"/>
  <c r="D107" i="1" s="1"/>
  <c r="J23" i="4" a="1"/>
  <c r="F30" i="1" l="1"/>
  <c r="C30" i="1"/>
  <c r="B4" i="4"/>
  <c r="D31" i="1" a="1"/>
  <c r="D31" i="1" s="1"/>
  <c r="G32" i="1"/>
  <c r="J23" i="4"/>
  <c r="F31" i="1" l="1"/>
  <c r="C31" i="1"/>
  <c r="B5" i="4"/>
  <c r="D32" i="1" a="1"/>
  <c r="D32" i="1" s="1"/>
  <c r="G33" i="1"/>
  <c r="F32" i="1" l="1"/>
  <c r="C32" i="1"/>
  <c r="B6" i="4"/>
  <c r="D33" i="1" a="1"/>
  <c r="D33" i="1" s="1"/>
  <c r="G34" i="1"/>
  <c r="F33" i="1" l="1"/>
  <c r="C33" i="1"/>
  <c r="B7" i="4"/>
  <c r="D34" i="1" a="1"/>
  <c r="D34" i="1" s="1"/>
  <c r="G35" i="1"/>
  <c r="F34" i="1" l="1"/>
  <c r="C34" i="1"/>
  <c r="B8" i="4"/>
  <c r="D35" i="1" a="1"/>
  <c r="D35" i="1" s="1"/>
  <c r="G36" i="1"/>
  <c r="F35" i="1" l="1"/>
  <c r="C35" i="1"/>
  <c r="B9" i="4"/>
  <c r="D36" i="1" a="1"/>
  <c r="D36" i="1" s="1"/>
  <c r="G37" i="1"/>
  <c r="F36" i="1" l="1"/>
  <c r="C36" i="1"/>
  <c r="B10" i="4"/>
  <c r="D37" i="1" a="1"/>
  <c r="D37" i="1" s="1"/>
  <c r="G38" i="1"/>
  <c r="F37" i="1" l="1"/>
  <c r="C37" i="1"/>
  <c r="B11" i="4"/>
  <c r="D38" i="1" a="1"/>
  <c r="D38" i="1" s="1"/>
  <c r="G39" i="1"/>
  <c r="F38" i="1" l="1"/>
  <c r="C38" i="1"/>
  <c r="B12" i="4"/>
  <c r="D39" i="1" a="1"/>
  <c r="D39" i="1" s="1"/>
  <c r="G40" i="1"/>
  <c r="F39" i="1" l="1"/>
  <c r="C39" i="1"/>
  <c r="B13" i="4"/>
  <c r="D40" i="1" a="1"/>
  <c r="D40" i="1" s="1"/>
  <c r="G41" i="1"/>
  <c r="F40" i="1" l="1"/>
  <c r="C40" i="1"/>
  <c r="B14" i="4"/>
  <c r="D41" i="1" a="1"/>
  <c r="D41" i="1" s="1"/>
  <c r="F41" i="1" s="1"/>
  <c r="G42" i="1"/>
  <c r="C41" i="1" l="1"/>
  <c r="B15" i="4"/>
  <c r="D42" i="1" a="1"/>
  <c r="D42" i="1" s="1"/>
  <c r="F42" i="1" s="1"/>
  <c r="G43" i="1"/>
  <c r="B16" i="4" l="1"/>
  <c r="C42" i="1"/>
  <c r="D43" i="1" a="1"/>
  <c r="D43" i="1" s="1"/>
  <c r="F43" i="1" s="1"/>
  <c r="B17" i="4" l="1"/>
  <c r="C43" i="1"/>
  <c r="D44" i="1" a="1"/>
  <c r="D44" i="1" s="1"/>
  <c r="E23" i="4" a="1"/>
  <c r="E23" i="4" s="1"/>
  <c r="F24" i="4" l="1" a="1"/>
  <c r="G35" i="4" a="1"/>
  <c r="G27" i="4" a="1"/>
  <c r="G37" i="4" a="1"/>
  <c r="G29" i="4" a="1"/>
  <c r="G25" i="4" a="1"/>
  <c r="G31" i="4" a="1"/>
  <c r="G33" i="4" a="1"/>
  <c r="G37" i="4" l="1"/>
  <c r="H37" i="4" s="1"/>
  <c r="G35" i="4"/>
  <c r="H35" i="4" s="1"/>
  <c r="G33" i="4"/>
  <c r="H33" i="4" s="1"/>
  <c r="G31" i="4"/>
  <c r="H31" i="4" s="1"/>
  <c r="G29" i="4"/>
  <c r="H29" i="4" s="1"/>
  <c r="G27" i="4"/>
  <c r="H27" i="4" s="1"/>
  <c r="G25" i="4"/>
  <c r="H25" i="4" s="1"/>
  <c r="F24" i="4"/>
  <c r="I29" i="4" a="1"/>
  <c r="I33" i="4" a="1"/>
  <c r="I25" i="4" a="1"/>
  <c r="I31" i="4" a="1"/>
  <c r="I27" i="4" a="1"/>
  <c r="I35" i="4" a="1"/>
  <c r="I37" i="4" a="1"/>
  <c r="I35" i="4" l="1"/>
  <c r="I37" i="4"/>
  <c r="I31" i="4"/>
  <c r="I33" i="4"/>
  <c r="I25" i="4"/>
  <c r="I27" i="4"/>
  <c r="I29" i="4"/>
  <c r="J25" i="4" a="1"/>
  <c r="J29" i="4" a="1"/>
  <c r="J31" i="4" a="1"/>
  <c r="J27" i="4" a="1"/>
  <c r="J37" i="4" a="1"/>
  <c r="J35" i="4" a="1"/>
  <c r="J33" i="4" a="1"/>
  <c r="J37" i="4" l="1"/>
  <c r="J35" i="4"/>
  <c r="J33" i="4"/>
  <c r="J31" i="4"/>
  <c r="J29" i="4"/>
  <c r="J27" i="4"/>
  <c r="J25" i="4"/>
  <c r="D2" i="4" l="1" a="1"/>
  <c r="D2" i="4" s="1"/>
  <c r="D18" i="4" s="1"/>
  <c r="A46" i="4" l="1"/>
  <c r="D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<sst xmlns="http://schemas.openxmlformats.org/spreadsheetml/2006/main" count="188" uniqueCount="116">
  <si>
    <t>Durchlaufträgerberechnung</t>
  </si>
  <si>
    <t>meile.jeremy@stud.bauschule.ch</t>
  </si>
  <si>
    <t>Parameter</t>
  </si>
  <si>
    <t>Wert</t>
  </si>
  <si>
    <t>Einheit</t>
  </si>
  <si>
    <t>System</t>
  </si>
  <si>
    <t>7 Felder</t>
  </si>
  <si>
    <t>&lt;-- Auswählen</t>
  </si>
  <si>
    <t>Stützenabstand (B)</t>
  </si>
  <si>
    <t>m</t>
  </si>
  <si>
    <t>&lt;-- Eingabe</t>
  </si>
  <si>
    <t>Deckenstärke (DOKA20 Tabelle)</t>
  </si>
  <si>
    <t>cm</t>
  </si>
  <si>
    <t>Querträgerabstand (c)</t>
  </si>
  <si>
    <t>Verteilte Last (q)</t>
  </si>
  <si>
    <t>kN/m²</t>
  </si>
  <si>
    <t>Biegesteifigkeit (EI)</t>
  </si>
  <si>
    <t>kNm²</t>
  </si>
  <si>
    <t>Dezimalstellen</t>
  </si>
  <si>
    <t>Lasten</t>
  </si>
  <si>
    <t>Resultat</t>
  </si>
  <si>
    <t>Lösungsweg</t>
  </si>
  <si>
    <t>kN/m</t>
  </si>
  <si>
    <t>Gesamtlast pro Feld</t>
  </si>
  <si>
    <t>kN</t>
  </si>
  <si>
    <t>Auflagerkräfte</t>
  </si>
  <si>
    <t>Querkräfte (Auflager, Position)</t>
  </si>
  <si>
    <t>Maximale Querkraft (Vmax)</t>
  </si>
  <si>
    <t>M1</t>
  </si>
  <si>
    <t>kNm</t>
  </si>
  <si>
    <t>M3</t>
  </si>
  <si>
    <t>M4</t>
  </si>
  <si>
    <t>Maximales Biegemoment (Mmax)</t>
  </si>
  <si>
    <t>Durchbiegung W</t>
  </si>
  <si>
    <t>mm</t>
  </si>
  <si>
    <t>Deckenstärke [cm]</t>
  </si>
  <si>
    <t>Deckenlast [kN/m²]</t>
  </si>
  <si>
    <t>A</t>
  </si>
  <si>
    <t>B</t>
  </si>
  <si>
    <t>C</t>
  </si>
  <si>
    <t>D</t>
  </si>
  <si>
    <t>E</t>
  </si>
  <si>
    <t>F</t>
  </si>
  <si>
    <t>G</t>
  </si>
  <si>
    <t>H</t>
  </si>
  <si>
    <t>M2</t>
  </si>
  <si>
    <t>MB</t>
  </si>
  <si>
    <t>MC</t>
  </si>
  <si>
    <t>MD</t>
  </si>
  <si>
    <t>ME</t>
  </si>
  <si>
    <t>MF</t>
  </si>
  <si>
    <t>MG</t>
  </si>
  <si>
    <t>w1</t>
  </si>
  <si>
    <t>w2</t>
  </si>
  <si>
    <t>w3</t>
  </si>
  <si>
    <t>w4</t>
  </si>
  <si>
    <t>2 Felder</t>
  </si>
  <si>
    <t>3 Felder</t>
  </si>
  <si>
    <t>4 Felder</t>
  </si>
  <si>
    <t>5 Felder</t>
  </si>
  <si>
    <t>6 Felder</t>
  </si>
  <si>
    <t>Querkräfte</t>
  </si>
  <si>
    <t>Moment</t>
  </si>
  <si>
    <t>M5</t>
  </si>
  <si>
    <t>M6</t>
  </si>
  <si>
    <t>M7</t>
  </si>
  <si>
    <t>m1</t>
  </si>
  <si>
    <t>m2</t>
  </si>
  <si>
    <t>m3</t>
  </si>
  <si>
    <t>m4</t>
  </si>
  <si>
    <t>m5</t>
  </si>
  <si>
    <t>m6</t>
  </si>
  <si>
    <t>m7</t>
  </si>
  <si>
    <t>&lt;- Muss nicht berechnet werden. Ist gegeben.</t>
  </si>
  <si>
    <t>Biegemoment im Feld M1</t>
  </si>
  <si>
    <t>Biegemoment im Feld M2​</t>
  </si>
  <si>
    <t>Biegemoment im Feld M3</t>
  </si>
  <si>
    <t>Biegemoment im Feld M4</t>
  </si>
  <si>
    <t>Biegemoment im Feld M5</t>
  </si>
  <si>
    <t>Biegemoment im Feld M6</t>
  </si>
  <si>
    <t>Biegemoment im Feld M7</t>
  </si>
  <si>
    <t>&lt;- Der Start ist immer 0.00.</t>
  </si>
  <si>
    <t>Biegemomente M</t>
  </si>
  <si>
    <t>w5</t>
  </si>
  <si>
    <t>w6</t>
  </si>
  <si>
    <t>w7</t>
  </si>
  <si>
    <t>Maximale Durchbiegung (Wmax)</t>
  </si>
  <si>
    <t>&lt;-- Nur relevant für Durchbiegung</t>
  </si>
  <si>
    <t>&lt;-- Optional (DOKA)</t>
  </si>
  <si>
    <t>&lt;-- Wenn für DOKA, dann Wert von Zelle oberhalb einfügen</t>
  </si>
  <si>
    <t>Auflagerkraft 1</t>
  </si>
  <si>
    <t>Auflagerkraft 2</t>
  </si>
  <si>
    <t>Auflagerkraft 3</t>
  </si>
  <si>
    <t>Auflagerkraft 4</t>
  </si>
  <si>
    <t>Auflagerkraft 5</t>
  </si>
  <si>
    <t>Auflagerkraft 6</t>
  </si>
  <si>
    <t>Auflagerkraft 7</t>
  </si>
  <si>
    <t>Auflagerkraft 8</t>
  </si>
  <si>
    <t>Biegemoment am Auflager 2</t>
  </si>
  <si>
    <t>Biegemoment am Auflager 3</t>
  </si>
  <si>
    <t>Biegemoment am Auflager 4</t>
  </si>
  <si>
    <t>Biegemoment am Auflager 5</t>
  </si>
  <si>
    <t>Biegemoment am Auflager 6</t>
  </si>
  <si>
    <t>Biegemoment am Auflager 7</t>
  </si>
  <si>
    <t>Berechnete Linienlast (q') von oben</t>
  </si>
  <si>
    <t>Gewählte Linienlast (q')</t>
  </si>
  <si>
    <r>
      <t xml:space="preserve">Durchbiegung im Feld </t>
    </r>
    <r>
      <rPr>
        <sz val="11"/>
        <color rgb="FF000000"/>
        <rFont val="Calibri"/>
        <family val="2"/>
      </rPr>
      <t>W1</t>
    </r>
  </si>
  <si>
    <r>
      <t xml:space="preserve">Durchbiegung im Feld </t>
    </r>
    <r>
      <rPr>
        <sz val="11"/>
        <color rgb="FF000000"/>
        <rFont val="Calibri"/>
        <family val="2"/>
      </rPr>
      <t>W2</t>
    </r>
  </si>
  <si>
    <r>
      <t xml:space="preserve">Durchbiegung im Feld </t>
    </r>
    <r>
      <rPr>
        <sz val="11"/>
        <color rgb="FF000000"/>
        <rFont val="Calibri"/>
        <family val="2"/>
      </rPr>
      <t>W3</t>
    </r>
  </si>
  <si>
    <r>
      <t xml:space="preserve">Durchbiegung im Feld </t>
    </r>
    <r>
      <rPr>
        <sz val="11"/>
        <color rgb="FF000000"/>
        <rFont val="Calibri"/>
        <family val="2"/>
      </rPr>
      <t>W4</t>
    </r>
  </si>
  <si>
    <r>
      <t xml:space="preserve">Durchbiegung im Feld </t>
    </r>
    <r>
      <rPr>
        <sz val="11"/>
        <color rgb="FF000000"/>
        <rFont val="Calibri"/>
        <family val="2"/>
      </rPr>
      <t>W5</t>
    </r>
  </si>
  <si>
    <r>
      <t xml:space="preserve">Durchbiegung im Feld </t>
    </r>
    <r>
      <rPr>
        <sz val="11"/>
        <color rgb="FF000000"/>
        <rFont val="Calibri"/>
        <family val="2"/>
      </rPr>
      <t>W6</t>
    </r>
  </si>
  <si>
    <r>
      <t xml:space="preserve">Durchbiegung im Feld </t>
    </r>
    <r>
      <rPr>
        <sz val="11"/>
        <color rgb="FF000000"/>
        <rFont val="Calibri"/>
        <family val="2"/>
      </rPr>
      <t>W7</t>
    </r>
  </si>
  <si>
    <t>Auflager Positionen</t>
  </si>
  <si>
    <t>Durchbiegung</t>
  </si>
  <si>
    <t>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</si>
</sst>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#,##0.000"/>
    <numFmt numFmtId="166" formatCode="#,##0.0000"/>
    <numFmt numFmtId="167" formatCode="#,##0.00000000000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2"/>
      <color rgb="FF3F3F76"/>
      <name val="Calibri"/>
      <family val="2"/>
    </font>
    <font>
      <i/>
      <sz val="10"/>
      <color theme="1"/>
      <name val="Calibri"/>
      <family val="2"/>
    </font>
    <font>
      <b/>
      <sz val="12"/>
      <color rgb="FF3F3F3F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AFFFF"/>
        <bgColor indexed="64"/>
      </patternFill>
    </fill>
    <fill>
      <patternFill patternType="solid">
        <fgColor rgb="FFBAE1FF"/>
        <bgColor indexed="64"/>
      </patternFill>
    </fill>
    <fill>
      <patternFill patternType="solid">
        <fgColor rgb="FFBAFFC9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FFD2BA"/>
        <bgColor indexed="64"/>
      </patternFill>
    </fill>
    <fill>
      <patternFill patternType="solid">
        <fgColor rgb="FFD2BAFF"/>
        <bgColor indexed="64"/>
      </patternFill>
    </fill>
    <fill>
      <patternFill patternType="solid">
        <fgColor rgb="FFFFFFE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3" fillId="2" borderId="2" applyNumberFormat="0" applyAlignment="0" applyProtection="0"/>
    <xf numFmtId="0" fontId="4" fillId="3" borderId="3" applyNumberFormat="0" applyAlignment="0" applyProtection="0"/>
    <xf numFmtId="0" fontId="2" fillId="4" borderId="4" applyNumberFormat="0" applyFont="0" applyAlignment="0" applyProtection="0"/>
    <xf numFmtId="0" fontId="6" fillId="0" borderId="0" applyNumberFormat="0" applyFill="0" applyBorder="0" applyAlignment="0" applyProtection="0"/>
  </cellStyleXfs>
  <cellXfs count="136">
    <xf numFmtId="0" fontId="0" fillId="0" borderId="0" xfId="0"/>
    <xf numFmtId="0" fontId="1" fillId="0" borderId="0" xfId="0" applyFont="1"/>
    <xf numFmtId="0" fontId="5" fillId="0" borderId="5" xfId="0" applyFont="1" applyBorder="1" applyAlignment="1">
      <alignment horizontal="center" vertical="top"/>
    </xf>
    <xf numFmtId="164" fontId="0" fillId="0" borderId="0" xfId="0" applyNumberFormat="1"/>
    <xf numFmtId="2" fontId="0" fillId="0" borderId="8" xfId="0" applyNumberFormat="1" applyBorder="1"/>
    <xf numFmtId="2" fontId="0" fillId="0" borderId="19" xfId="0" applyNumberFormat="1" applyBorder="1"/>
    <xf numFmtId="2" fontId="0" fillId="0" borderId="12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65" fontId="0" fillId="0" borderId="0" xfId="0" applyNumberFormat="1"/>
    <xf numFmtId="0" fontId="0" fillId="0" borderId="19" xfId="0" applyBorder="1"/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" fillId="5" borderId="17" xfId="0" applyFont="1" applyFill="1" applyBorder="1"/>
    <xf numFmtId="2" fontId="0" fillId="0" borderId="0" xfId="0" applyNumberFormat="1"/>
    <xf numFmtId="1" fontId="0" fillId="0" borderId="0" xfId="0" applyNumberFormat="1"/>
    <xf numFmtId="0" fontId="9" fillId="14" borderId="17" xfId="0" applyFont="1" applyFill="1" applyBorder="1"/>
    <xf numFmtId="0" fontId="10" fillId="14" borderId="18" xfId="4" applyFont="1" applyFill="1" applyBorder="1" applyAlignment="1" applyProtection="1">
      <alignment horizontal="right"/>
    </xf>
    <xf numFmtId="0" fontId="8" fillId="0" borderId="0" xfId="0" applyFont="1"/>
    <xf numFmtId="0" fontId="8" fillId="5" borderId="18" xfId="0" applyFont="1" applyFill="1" applyBorder="1"/>
    <xf numFmtId="0" fontId="8" fillId="0" borderId="6" xfId="0" applyFont="1" applyBorder="1"/>
    <xf numFmtId="0" fontId="12" fillId="0" borderId="8" xfId="0" quotePrefix="1" applyFont="1" applyBorder="1"/>
    <xf numFmtId="0" fontId="8" fillId="0" borderId="9" xfId="0" applyFont="1" applyBorder="1"/>
    <xf numFmtId="0" fontId="11" fillId="2" borderId="2" xfId="1" applyFont="1" applyProtection="1">
      <protection locked="0"/>
    </xf>
    <xf numFmtId="0" fontId="12" fillId="0" borderId="19" xfId="0" quotePrefix="1" applyFont="1" applyBorder="1"/>
    <xf numFmtId="0" fontId="13" fillId="3" borderId="3" xfId="2" applyFont="1" applyProtection="1"/>
    <xf numFmtId="0" fontId="8" fillId="0" borderId="10" xfId="0" applyFont="1" applyBorder="1"/>
    <xf numFmtId="0" fontId="11" fillId="2" borderId="20" xfId="1" applyFont="1" applyBorder="1" applyProtection="1">
      <protection locked="0"/>
    </xf>
    <xf numFmtId="0" fontId="8" fillId="0" borderId="11" xfId="0" applyFont="1" applyBorder="1"/>
    <xf numFmtId="0" fontId="12" fillId="0" borderId="12" xfId="0" quotePrefix="1" applyFont="1" applyBorder="1"/>
    <xf numFmtId="0" fontId="12" fillId="5" borderId="17" xfId="0" applyFont="1" applyFill="1" applyBorder="1"/>
    <xf numFmtId="0" fontId="12" fillId="5" borderId="18" xfId="0" applyFont="1" applyFill="1" applyBorder="1"/>
    <xf numFmtId="0" fontId="13" fillId="3" borderId="26" xfId="2" applyFont="1" applyBorder="1" applyProtection="1"/>
    <xf numFmtId="0" fontId="8" fillId="0" borderId="22" xfId="0" applyFont="1" applyBorder="1"/>
    <xf numFmtId="0" fontId="8" fillId="4" borderId="25" xfId="3" applyFont="1" applyBorder="1" applyProtection="1"/>
    <xf numFmtId="0" fontId="8" fillId="0" borderId="23" xfId="0" applyFont="1" applyBorder="1"/>
    <xf numFmtId="0" fontId="8" fillId="0" borderId="19" xfId="0" applyFont="1" applyBorder="1"/>
    <xf numFmtId="0" fontId="13" fillId="3" borderId="27" xfId="2" applyFont="1" applyBorder="1" applyProtection="1"/>
    <xf numFmtId="0" fontId="8" fillId="0" borderId="24" xfId="0" applyFont="1" applyBorder="1"/>
    <xf numFmtId="0" fontId="8" fillId="4" borderId="14" xfId="3" applyFont="1" applyBorder="1" applyProtection="1"/>
    <xf numFmtId="0" fontId="8" fillId="6" borderId="9" xfId="0" applyFont="1" applyFill="1" applyBorder="1"/>
    <xf numFmtId="0" fontId="8" fillId="4" borderId="15" xfId="3" applyFont="1" applyBorder="1" applyProtection="1"/>
    <xf numFmtId="0" fontId="8" fillId="7" borderId="9" xfId="0" applyFont="1" applyFill="1" applyBorder="1"/>
    <xf numFmtId="0" fontId="8" fillId="4" borderId="13" xfId="3" applyFont="1" applyBorder="1" applyProtection="1"/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8" fillId="11" borderId="9" xfId="0" applyFont="1" applyFill="1" applyBorder="1"/>
    <xf numFmtId="0" fontId="8" fillId="12" borderId="9" xfId="0" applyFont="1" applyFill="1" applyBorder="1"/>
    <xf numFmtId="0" fontId="8" fillId="13" borderId="10" xfId="0" applyFont="1" applyFill="1" applyBorder="1"/>
    <xf numFmtId="0" fontId="8" fillId="0" borderId="1" xfId="0" applyFont="1" applyBorder="1"/>
    <xf numFmtId="0" fontId="8" fillId="13" borderId="9" xfId="0" applyFont="1" applyFill="1" applyBorder="1"/>
    <xf numFmtId="0" fontId="8" fillId="0" borderId="21" xfId="0" applyFont="1" applyBorder="1"/>
    <xf numFmtId="0" fontId="14" fillId="0" borderId="16" xfId="0" applyFont="1" applyBorder="1"/>
    <xf numFmtId="166" fontId="15" fillId="0" borderId="17" xfId="0" applyNumberFormat="1" applyFont="1" applyBorder="1"/>
    <xf numFmtId="0" fontId="8" fillId="0" borderId="35" xfId="0" applyFont="1" applyBorder="1"/>
    <xf numFmtId="0" fontId="8" fillId="0" borderId="18" xfId="0" applyFont="1" applyBorder="1"/>
    <xf numFmtId="0" fontId="14" fillId="0" borderId="6" xfId="0" applyFont="1" applyBorder="1"/>
    <xf numFmtId="165" fontId="8" fillId="0" borderId="7" xfId="0" applyNumberFormat="1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9" xfId="0" applyFont="1" applyBorder="1"/>
    <xf numFmtId="165" fontId="8" fillId="0" borderId="0" xfId="0" applyNumberFormat="1" applyFont="1"/>
    <xf numFmtId="0" fontId="14" fillId="0" borderId="0" xfId="0" applyFont="1"/>
    <xf numFmtId="0" fontId="14" fillId="0" borderId="10" xfId="0" applyFont="1" applyBorder="1"/>
    <xf numFmtId="0" fontId="14" fillId="0" borderId="11" xfId="0" applyFont="1" applyBorder="1"/>
    <xf numFmtId="0" fontId="8" fillId="0" borderId="12" xfId="0" applyFont="1" applyBorder="1"/>
    <xf numFmtId="0" fontId="16" fillId="0" borderId="0" xfId="0" applyFont="1"/>
    <xf numFmtId="0" fontId="17" fillId="0" borderId="9" xfId="0" applyFont="1" applyBorder="1"/>
    <xf numFmtId="0" fontId="8" fillId="4" borderId="31" xfId="3" applyFont="1" applyBorder="1" applyProtection="1"/>
    <xf numFmtId="0" fontId="8" fillId="0" borderId="33" xfId="0" applyFont="1" applyBorder="1"/>
    <xf numFmtId="0" fontId="8" fillId="4" borderId="34" xfId="3" applyFont="1" applyBorder="1" applyProtection="1"/>
    <xf numFmtId="166" fontId="15" fillId="0" borderId="7" xfId="0" applyNumberFormat="1" applyFont="1" applyBorder="1"/>
    <xf numFmtId="166" fontId="15" fillId="0" borderId="0" xfId="0" applyNumberFormat="1" applyFont="1"/>
    <xf numFmtId="166" fontId="15" fillId="0" borderId="11" xfId="0" applyNumberFormat="1" applyFont="1" applyBorder="1"/>
    <xf numFmtId="0" fontId="8" fillId="0" borderId="17" xfId="0" applyFont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4" fontId="8" fillId="16" borderId="29" xfId="0" applyNumberFormat="1" applyFont="1" applyFill="1" applyBorder="1"/>
    <xf numFmtId="4" fontId="8" fillId="15" borderId="29" xfId="0" applyNumberFormat="1" applyFont="1" applyFill="1" applyBorder="1"/>
    <xf numFmtId="4" fontId="8" fillId="17" borderId="29" xfId="0" applyNumberFormat="1" applyFont="1" applyFill="1" applyBorder="1"/>
    <xf numFmtId="4" fontId="0" fillId="0" borderId="7" xfId="0" applyNumberFormat="1" applyBorder="1"/>
    <xf numFmtId="4" fontId="0" fillId="0" borderId="0" xfId="0" applyNumberFormat="1"/>
    <xf numFmtId="4" fontId="0" fillId="0" borderId="10" xfId="0" applyNumberFormat="1" applyBorder="1"/>
    <xf numFmtId="4" fontId="8" fillId="18" borderId="29" xfId="0" applyNumberFormat="1" applyFont="1" applyFill="1" applyBorder="1"/>
    <xf numFmtId="0" fontId="8" fillId="7" borderId="32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Border="1"/>
    <xf numFmtId="0" fontId="0" fillId="0" borderId="11" xfId="0" applyBorder="1"/>
    <xf numFmtId="4" fontId="8" fillId="19" borderId="29" xfId="0" applyNumberFormat="1" applyFont="1" applyFill="1" applyBorder="1"/>
    <xf numFmtId="3" fontId="16" fillId="0" borderId="0" xfId="0" applyNumberFormat="1" applyFont="1"/>
    <xf numFmtId="167" fontId="16" fillId="0" borderId="0" xfId="0" applyNumberFormat="1" applyFont="1"/>
    <xf numFmtId="0" fontId="11" fillId="2" borderId="2" xfId="1" applyNumberFormat="1" applyFont="1" applyProtection="1">
      <protection locked="0"/>
    </xf>
    <xf numFmtId="0" fontId="11" fillId="2" borderId="39" xfId="1" applyFont="1" applyBorder="1" applyAlignment="1" applyProtection="1">
      <alignment horizontal="right"/>
      <protection locked="0"/>
    </xf>
    <xf numFmtId="0" fontId="8" fillId="6" borderId="6" xfId="0" applyFont="1" applyFill="1" applyBorder="1"/>
    <xf numFmtId="0" fontId="8" fillId="0" borderId="40" xfId="0" applyFont="1" applyBorder="1"/>
    <xf numFmtId="0" fontId="8" fillId="6" borderId="41" xfId="0" applyFont="1" applyFill="1" applyBorder="1"/>
    <xf numFmtId="0" fontId="8" fillId="7" borderId="42" xfId="0" applyFont="1" applyFill="1" applyBorder="1"/>
    <xf numFmtId="0" fontId="8" fillId="7" borderId="41" xfId="0" applyFont="1" applyFill="1" applyBorder="1"/>
    <xf numFmtId="0" fontId="8" fillId="8" borderId="42" xfId="0" applyFont="1" applyFill="1" applyBorder="1"/>
    <xf numFmtId="0" fontId="8" fillId="8" borderId="41" xfId="0" applyFont="1" applyFill="1" applyBorder="1"/>
    <xf numFmtId="0" fontId="8" fillId="9" borderId="42" xfId="0" applyFont="1" applyFill="1" applyBorder="1"/>
    <xf numFmtId="0" fontId="8" fillId="9" borderId="41" xfId="0" applyFont="1" applyFill="1" applyBorder="1"/>
    <xf numFmtId="0" fontId="8" fillId="10" borderId="42" xfId="0" applyFont="1" applyFill="1" applyBorder="1"/>
    <xf numFmtId="0" fontId="8" fillId="10" borderId="41" xfId="0" applyFont="1" applyFill="1" applyBorder="1"/>
    <xf numFmtId="0" fontId="8" fillId="11" borderId="42" xfId="0" applyFont="1" applyFill="1" applyBorder="1"/>
    <xf numFmtId="0" fontId="8" fillId="11" borderId="41" xfId="0" applyFont="1" applyFill="1" applyBorder="1"/>
    <xf numFmtId="0" fontId="8" fillId="12" borderId="42" xfId="0" applyFont="1" applyFill="1" applyBorder="1"/>
    <xf numFmtId="0" fontId="8" fillId="12" borderId="41" xfId="0" applyFont="1" applyFill="1" applyBorder="1"/>
    <xf numFmtId="4" fontId="8" fillId="20" borderId="29" xfId="0" applyNumberFormat="1" applyFont="1" applyFill="1" applyBorder="1"/>
    <xf numFmtId="4" fontId="8" fillId="21" borderId="29" xfId="0" applyNumberFormat="1" applyFont="1" applyFill="1" applyBorder="1"/>
    <xf numFmtId="4" fontId="8" fillId="16" borderId="28" xfId="0" applyNumberFormat="1" applyFont="1" applyFill="1" applyBorder="1"/>
    <xf numFmtId="4" fontId="8" fillId="15" borderId="28" xfId="0" applyNumberFormat="1" applyFont="1" applyFill="1" applyBorder="1"/>
    <xf numFmtId="4" fontId="8" fillId="20" borderId="32" xfId="0" applyNumberFormat="1" applyFont="1" applyFill="1" applyBorder="1"/>
    <xf numFmtId="0" fontId="9" fillId="14" borderId="16" xfId="0" applyFont="1" applyFill="1" applyBorder="1" applyAlignment="1">
      <alignment horizontal="center"/>
    </xf>
    <xf numFmtId="0" fontId="9" fillId="14" borderId="17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left"/>
    </xf>
    <xf numFmtId="0" fontId="1" fillId="5" borderId="17" xfId="0" applyFont="1" applyFill="1" applyBorder="1" applyAlignment="1">
      <alignment horizontal="left"/>
    </xf>
    <xf numFmtId="4" fontId="8" fillId="0" borderId="28" xfId="0" applyNumberFormat="1" applyFont="1" applyFill="1" applyBorder="1"/>
    <xf numFmtId="4" fontId="8" fillId="0" borderId="29" xfId="0" applyNumberFormat="1" applyFont="1" applyFill="1" applyBorder="1"/>
    <xf numFmtId="4" fontId="8" fillId="0" borderId="30" xfId="0" applyNumberFormat="1" applyFont="1" applyFill="1" applyBorder="1"/>
    <xf numFmtId="166" fontId="8" fillId="0" borderId="29" xfId="0" applyNumberFormat="1" applyFont="1" applyFill="1" applyBorder="1"/>
    <xf numFmtId="166" fontId="8" fillId="17" borderId="29" xfId="0" applyNumberFormat="1" applyFont="1" applyFill="1" applyBorder="1"/>
    <xf numFmtId="166" fontId="0" fillId="0" borderId="0" xfId="0" applyNumberFormat="1"/>
    <xf numFmtId="166" fontId="0" fillId="0" borderId="11" xfId="0" applyNumberFormat="1" applyBorder="1"/>
    <xf numFmtId="166" fontId="8" fillId="15" borderId="29" xfId="0" applyNumberFormat="1" applyFont="1" applyFill="1" applyBorder="1"/>
    <xf numFmtId="166" fontId="8" fillId="15" borderId="28" xfId="0" applyNumberFormat="1" applyFont="1" applyFill="1" applyBorder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35"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D322935D-6EBA-414F-998E-92648754145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2249-B253-532D287EC995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C8-2249-B253-532D287EC995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C8-2249-B253-532D287EC995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C8-2249-B253-532D287EC995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C8-2249-B253-532D287EC995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C8-2249-B253-532D287EC995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C8-2249-B253-532D287EC995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C8-2249-B253-532D287EC995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C8-2249-B253-532D287EC995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Rundungen!$F$23:$F$37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</c:numCache>
            </c:numRef>
          </c:xVal>
          <c:yVal>
            <c:numRef>
              <c:f>Rundungen!$E$23:$E$37</c:f>
              <c:numCache>
                <c:formatCode>#,##0.00</c:formatCode>
                <c:ptCount val="15"/>
                <c:pt idx="0">
                  <c:v>0</c:v>
                </c:pt>
                <c:pt idx="1">
                  <c:v>2734.29</c:v>
                </c:pt>
                <c:pt idx="2">
                  <c:v>-3696.03</c:v>
                </c:pt>
                <c:pt idx="3">
                  <c:v>1165.32</c:v>
                </c:pt>
                <c:pt idx="4">
                  <c:v>-2769.39</c:v>
                </c:pt>
                <c:pt idx="5">
                  <c:v>1618.1100000000001</c:v>
                </c:pt>
                <c:pt idx="6">
                  <c:v>-2769.39</c:v>
                </c:pt>
                <c:pt idx="7">
                  <c:v>1165.32</c:v>
                </c:pt>
                <c:pt idx="8">
                  <c:v>-3696.03</c:v>
                </c:pt>
                <c:pt idx="9">
                  <c:v>2734.29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8-2249-B253-532D287E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7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CD4D-B1AB-7926E2ED4CA8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BD1-8F41-B8A9-CC6F1B8B6297}"/>
              </c:ext>
            </c:extLst>
          </c:dPt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8-CD4D-B1AB-7926E2ED4CA8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8-CD4D-B1AB-7926E2ED4CA8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E8-CD4D-B1AB-7926E2ED4CA8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E8-CD4D-B1AB-7926E2ED4CA8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E8-CD4D-B1AB-7926E2ED4CA8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E8-CD4D-B1AB-7926E2ED4CA8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E8-CD4D-B1AB-7926E2ED4CA8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E8-CD4D-B1AB-7926E2ED4CA8}"/>
            </c:ext>
          </c:extLst>
        </c:ser>
        <c:ser>
          <c:idx val="1"/>
          <c:order val="9"/>
          <c:tx>
            <c:v>Querkraftverlauf</c:v>
          </c:tx>
          <c:spPr>
            <a:ln w="38100" cap="rnd">
              <a:solidFill>
                <a:schemeClr val="tx2">
                  <a:lumMod val="60000"/>
                  <a:lumOff val="400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40000"/>
                  <a:lumOff val="60000"/>
                </a:schemeClr>
              </a:solidFill>
              <a:ln w="12700">
                <a:solidFill>
                  <a:schemeClr val="tx2"/>
                </a:solidFill>
              </a:ln>
              <a:effectLst/>
            </c:spPr>
          </c:marker>
          <c:dLbls>
            <c:spPr>
              <a:solidFill>
                <a:schemeClr val="tx2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Rundungen!$D$2:$D$17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</c:numCache>
            </c:numRef>
          </c:xVal>
          <c:yVal>
            <c:numRef>
              <c:f>Rundungen!$B$2:$B$17</c:f>
              <c:numCache>
                <c:formatCode>#,##0.00</c:formatCode>
                <c:ptCount val="16"/>
                <c:pt idx="0">
                  <c:v>0</c:v>
                </c:pt>
                <c:pt idx="1">
                  <c:v>1386.45</c:v>
                </c:pt>
                <c:pt idx="2">
                  <c:v>-2123.5500000000002</c:v>
                </c:pt>
                <c:pt idx="3">
                  <c:v>1849.7699999999995</c:v>
                </c:pt>
                <c:pt idx="4">
                  <c:v>-1660.2300000000005</c:v>
                </c:pt>
                <c:pt idx="5">
                  <c:v>1754.9999999999995</c:v>
                </c:pt>
                <c:pt idx="6">
                  <c:v>-1754.9999999999995</c:v>
                </c:pt>
                <c:pt idx="7">
                  <c:v>1660.2300000000005</c:v>
                </c:pt>
                <c:pt idx="8">
                  <c:v>-1849.7699999999995</c:v>
                </c:pt>
                <c:pt idx="9">
                  <c:v>2123.5500000000002</c:v>
                </c:pt>
                <c:pt idx="10">
                  <c:v>-1386.45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E8-CD4D-B1AB-7926E2ED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7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4-E84F-8446-4833DB1D59F6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4-E84F-8446-4833DB1D59F6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4-E84F-8446-4833DB1D59F6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4-E84F-8446-4833DB1D59F6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4-E84F-8446-4833DB1D59F6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4-E84F-8446-4833DB1D59F6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4-E84F-8446-4833DB1D59F6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4-E84F-8446-4833DB1D59F6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4-E84F-8446-4833DB1D59F6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74-E84F-8446-4833DB1D59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74-E84F-8446-4833DB1D59F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74-E84F-8446-4833DB1D59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74-E84F-8446-4833DB1D59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74-E84F-8446-4833DB1D59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74-E84F-8446-4833DB1D59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74-E84F-8446-4833DB1D59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474-E84F-8446-4833DB1D59F6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Rundungen!$D$52:$D$66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</c:numCache>
            </c:numRef>
          </c:xVal>
          <c:yVal>
            <c:numRef>
              <c:f>Rundungen!$C$52:$C$66</c:f>
              <c:numCache>
                <c:formatCode>#,##0.0000</c:formatCode>
                <c:ptCount val="15"/>
                <c:pt idx="0">
                  <c:v>0</c:v>
                </c:pt>
                <c:pt idx="1">
                  <c:v>0.27609331409453647</c:v>
                </c:pt>
                <c:pt idx="2">
                  <c:v>0</c:v>
                </c:pt>
                <c:pt idx="3">
                  <c:v>6.3713841714123795E-2</c:v>
                </c:pt>
                <c:pt idx="4">
                  <c:v>0</c:v>
                </c:pt>
                <c:pt idx="5">
                  <c:v>0.13592286232346409</c:v>
                </c:pt>
                <c:pt idx="6">
                  <c:v>0</c:v>
                </c:pt>
                <c:pt idx="7">
                  <c:v>6.3713841714123795E-2</c:v>
                </c:pt>
                <c:pt idx="8">
                  <c:v>0</c:v>
                </c:pt>
                <c:pt idx="9">
                  <c:v>0.27609331409453647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74-E84F-8446-4833DB1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7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  <c:max val="0.27609331409453647"/>
          <c:min val="-6.902332852363411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78</xdr:row>
      <xdr:rowOff>101600</xdr:rowOff>
    </xdr:from>
    <xdr:to>
      <xdr:col>5</xdr:col>
      <xdr:colOff>4127501</xdr:colOff>
      <xdr:row>96</xdr:row>
      <xdr:rowOff>121920</xdr:rowOff>
    </xdr:to>
    <xdr:graphicFrame macro="">
      <xdr:nvGraphicFramePr>
        <xdr:cNvPr id="2" name="Momentenverlauf" descr="A">
          <a:extLst>
            <a:ext uri="{FF2B5EF4-FFF2-40B4-BE49-F238E27FC236}">
              <a16:creationId xmlns:a16="http://schemas.microsoft.com/office/drawing/2014/main" id="{EDEDBB2D-E026-2045-9DF5-3428DF1FD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68039</xdr:colOff>
      <xdr:row>44</xdr:row>
      <xdr:rowOff>45358</xdr:rowOff>
    </xdr:from>
    <xdr:to>
      <xdr:col>5</xdr:col>
      <xdr:colOff>4144740</xdr:colOff>
      <xdr:row>61</xdr:row>
      <xdr:rowOff>136072</xdr:rowOff>
    </xdr:to>
    <xdr:graphicFrame macro="">
      <xdr:nvGraphicFramePr>
        <xdr:cNvPr id="4" name="Querkraftverlauf" descr="A">
          <a:extLst>
            <a:ext uri="{FF2B5EF4-FFF2-40B4-BE49-F238E27FC236}">
              <a16:creationId xmlns:a16="http://schemas.microsoft.com/office/drawing/2014/main" id="{015B3726-BE9D-5247-B84C-35C9F2561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35607</xdr:colOff>
      <xdr:row>107</xdr:row>
      <xdr:rowOff>82016</xdr:rowOff>
    </xdr:from>
    <xdr:to>
      <xdr:col>5</xdr:col>
      <xdr:colOff>4111121</xdr:colOff>
      <xdr:row>125</xdr:row>
      <xdr:rowOff>102336</xdr:rowOff>
    </xdr:to>
    <xdr:graphicFrame macro="">
      <xdr:nvGraphicFramePr>
        <xdr:cNvPr id="3" name="Durchbiegung" descr="A">
          <a:extLst>
            <a:ext uri="{FF2B5EF4-FFF2-40B4-BE49-F238E27FC236}">
              <a16:creationId xmlns:a16="http://schemas.microsoft.com/office/drawing/2014/main" id="{F61B9EC4-309B-CE47-A2C9-99811626B6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E5634-0A75-8A4A-A586-11828C3F09D7}" name="Tabelle2" displayName="Tabelle2" ref="A1:B16" totalsRowShown="0" headerRowDxfId="34" headerRowBorderDxfId="33" tableBorderDxfId="32">
  <autoFilter ref="A1:B16" xr:uid="{3ADE5634-0A75-8A4A-A586-11828C3F09D7}"/>
  <tableColumns count="2">
    <tableColumn id="1" xr3:uid="{B885EC0A-CABF-854B-A10E-18B75A743E01}" name="Deckenstärke [cm]"/>
    <tableColumn id="2" xr3:uid="{EA8B5267-7AD5-BF48-9407-42D7413A8975}" name="Deckenlast [kN/m²]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1CA714-B8D0-EA45-A423-D9922DDCA3DF}" name="Tabelle1" displayName="Tabelle1" ref="A1:AD7" totalsRowShown="0" headerRowDxfId="31" dataDxfId="30">
  <autoFilter ref="A1:AD7" xr:uid="{021CA714-B8D0-EA45-A423-D9922DDCA3DF}"/>
  <tableColumns count="30">
    <tableColumn id="1" xr3:uid="{C19BC19A-5AE1-E442-AB8C-B3B3A7EAF611}" name="System" dataDxfId="29"/>
    <tableColumn id="2" xr3:uid="{F706DE96-09EA-8B47-916B-1254191BE4AB}" name="A" dataDxfId="28"/>
    <tableColumn id="3" xr3:uid="{AC3772F5-55AB-9B42-A6B6-C2086BA657AF}" name="B" dataDxfId="27"/>
    <tableColumn id="4" xr3:uid="{3EDD443C-EF78-4049-9D47-FE0C5F97557F}" name="C" dataDxfId="26"/>
    <tableColumn id="5" xr3:uid="{84FD1C9C-45B5-7B4E-9212-69C94892B8B3}" name="D" dataDxfId="25"/>
    <tableColumn id="6" xr3:uid="{C38C9F31-A2F0-FD44-AED6-56B84D6EBA61}" name="E" dataDxfId="24"/>
    <tableColumn id="7" xr3:uid="{BB80A034-F1B1-CB4A-971D-AD1DBC655039}" name="F" dataDxfId="23"/>
    <tableColumn id="8" xr3:uid="{015EC131-7201-1C48-8F1D-3CD268C519C9}" name="G" dataDxfId="22"/>
    <tableColumn id="9" xr3:uid="{4A0D1138-08D7-8543-80D8-ED48EFD308BA}" name="H" dataDxfId="21"/>
    <tableColumn id="10" xr3:uid="{0092A306-11BA-7540-B2A5-B313B080FC77}" name="M1" dataDxfId="20"/>
    <tableColumn id="11" xr3:uid="{BC22AEB5-4A76-DA4C-B6CB-667D5488C178}" name="M2" dataDxfId="19"/>
    <tableColumn id="12" xr3:uid="{AAF46659-F52F-D64E-ADE2-D62E4A8152D4}" name="M3" dataDxfId="18"/>
    <tableColumn id="13" xr3:uid="{499C1FAC-0C1F-3645-8D60-D9ABFC4AF05F}" name="M4" dataDxfId="17"/>
    <tableColumn id="26" xr3:uid="{8E083F0D-917C-A340-A1D3-FDE0E0D345FE}" name="M5" dataDxfId="16"/>
    <tableColumn id="25" xr3:uid="{00F219CE-BC96-BA40-AB64-1D2FEC9010E8}" name="M6" dataDxfId="15"/>
    <tableColumn id="20" xr3:uid="{F95F1530-451C-B143-814C-FC12A10F0A26}" name="M7" dataDxfId="14"/>
    <tableColumn id="14" xr3:uid="{1786224D-7FFD-674C-81B3-EEF4FA51583A}" name="MB" dataDxfId="13"/>
    <tableColumn id="15" xr3:uid="{AEAB42C2-B9D8-AC47-B004-414FD8397592}" name="MC" dataDxfId="12"/>
    <tableColumn id="23" xr3:uid="{BA8675D0-6AA9-1C43-9448-6403C0D0FD73}" name="MD" dataDxfId="11"/>
    <tableColumn id="22" xr3:uid="{3046771B-E3D9-304A-B096-41C9FA19132D}" name="ME" dataDxfId="10"/>
    <tableColumn id="21" xr3:uid="{5D184513-45A3-514E-9D9A-68A0E2360EAB}" name="MF" dataDxfId="9"/>
    <tableColumn id="24" xr3:uid="{A345ECFF-AE76-E749-80A6-0BA44537826D}" name="MG" dataDxfId="8"/>
    <tableColumn id="16" xr3:uid="{250904E4-4E8A-6045-A1A1-00FB579B522D}" name="w1" dataDxfId="7"/>
    <tableColumn id="17" xr3:uid="{8617DBC7-3D33-3B49-B8B2-0490332461FD}" name="w2" dataDxfId="6"/>
    <tableColumn id="18" xr3:uid="{5EB45E04-B2F5-5A44-9E5F-D2DEAF4D8E21}" name="w3" dataDxfId="5"/>
    <tableColumn id="19" xr3:uid="{5B996D3F-BBA9-B843-A3D6-9AF2E422E607}" name="w4" dataDxfId="4"/>
    <tableColumn id="27" xr3:uid="{EB651BA8-39C5-0941-A8FE-96AE11B4565C}" name="w5" dataDxfId="3"/>
    <tableColumn id="28" xr3:uid="{8071799F-D991-4B4A-BF60-F5BF9702DAA9}" name="w6" dataDxfId="2"/>
    <tableColumn id="29" xr3:uid="{4DCAEBEC-DF06-7C4B-8FCD-D98996F76759}" name="w7" dataDxfId="1"/>
    <tableColumn id="30" xr3:uid="{35B37A52-3623-B14B-83F3-E935F1BD9B63}" name="Mit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126"/>
  <sheetViews>
    <sheetView showGridLines="0" tabSelected="1" topLeftCell="A18" zoomScale="139" zoomScaleNormal="166" workbookViewId="0">
      <selection activeCell="D4" sqref="D4"/>
    </sheetView>
  </sheetViews>
  <sheetFormatPr baseColWidth="10" defaultColWidth="8.85546875" defaultRowHeight="15" x14ac:dyDescent="0.25"/>
  <cols>
    <col min="1" max="2" width="2" style="20" customWidth="1"/>
    <col min="3" max="3" width="37" style="20" bestFit="1" customWidth="1"/>
    <col min="4" max="4" width="13.7109375" style="20" customWidth="1"/>
    <col min="5" max="5" width="6.85546875" style="20" customWidth="1"/>
    <col min="6" max="6" width="55" style="20" customWidth="1"/>
    <col min="7" max="7" width="17.85546875" style="20" bestFit="1" customWidth="1"/>
    <col min="8" max="8" width="24.7109375" style="20" bestFit="1" customWidth="1"/>
    <col min="9" max="16384" width="8.85546875" style="20"/>
  </cols>
  <sheetData>
    <row r="1" spans="1:6" ht="19.5" thickBot="1" x14ac:dyDescent="0.35">
      <c r="A1" s="123" t="s">
        <v>0</v>
      </c>
      <c r="B1" s="124"/>
      <c r="C1" s="124"/>
      <c r="D1" s="18"/>
      <c r="E1" s="18"/>
      <c r="F1" s="19" t="s">
        <v>1</v>
      </c>
    </row>
    <row r="2" spans="1:6" ht="15.75" thickBot="1" x14ac:dyDescent="0.3"/>
    <row r="3" spans="1:6" ht="15.75" thickBot="1" x14ac:dyDescent="0.3">
      <c r="B3" s="125" t="s">
        <v>2</v>
      </c>
      <c r="C3" s="126"/>
      <c r="D3" s="15" t="s">
        <v>3</v>
      </c>
      <c r="E3" s="15" t="s">
        <v>4</v>
      </c>
      <c r="F3" s="21"/>
    </row>
    <row r="4" spans="1:6" ht="15.75" x14ac:dyDescent="0.25">
      <c r="C4" s="24" t="s">
        <v>5</v>
      </c>
      <c r="D4" s="102" t="s">
        <v>59</v>
      </c>
      <c r="E4" s="1"/>
      <c r="F4" s="26" t="s">
        <v>7</v>
      </c>
    </row>
    <row r="5" spans="1:6" ht="15.75" x14ac:dyDescent="0.25">
      <c r="C5" s="24" t="s">
        <v>8</v>
      </c>
      <c r="D5" s="25">
        <v>10</v>
      </c>
      <c r="E5" s="20" t="s">
        <v>9</v>
      </c>
      <c r="F5" s="26" t="s">
        <v>10</v>
      </c>
    </row>
    <row r="6" spans="1:6" ht="15.75" x14ac:dyDescent="0.25">
      <c r="C6" s="24" t="s">
        <v>11</v>
      </c>
      <c r="D6" s="25">
        <v>22</v>
      </c>
      <c r="E6" s="20" t="s">
        <v>12</v>
      </c>
      <c r="F6" s="26" t="s">
        <v>88</v>
      </c>
    </row>
    <row r="7" spans="1:6" ht="15.75" x14ac:dyDescent="0.25">
      <c r="C7" s="24" t="s">
        <v>13</v>
      </c>
      <c r="D7" s="25">
        <v>0.5</v>
      </c>
      <c r="E7" s="20" t="s">
        <v>9</v>
      </c>
      <c r="F7" s="26" t="s">
        <v>88</v>
      </c>
    </row>
    <row r="8" spans="1:6" ht="15.75" x14ac:dyDescent="0.25">
      <c r="C8" s="24" t="s">
        <v>14</v>
      </c>
      <c r="D8" s="27">
        <f>VLOOKUP(Berechnungen!D6,Tabelle2[],2,FALSE)</f>
        <v>7.2</v>
      </c>
      <c r="E8" s="20" t="s">
        <v>15</v>
      </c>
      <c r="F8" s="26"/>
    </row>
    <row r="9" spans="1:6" ht="15.75" x14ac:dyDescent="0.25">
      <c r="C9" s="24" t="s">
        <v>16</v>
      </c>
      <c r="D9" s="25">
        <v>82635105</v>
      </c>
      <c r="E9" s="20" t="s">
        <v>17</v>
      </c>
      <c r="F9" s="26" t="s">
        <v>87</v>
      </c>
    </row>
    <row r="10" spans="1:6" ht="16.5" thickBot="1" x14ac:dyDescent="0.3">
      <c r="C10" s="28" t="s">
        <v>18</v>
      </c>
      <c r="D10" s="29">
        <v>3</v>
      </c>
      <c r="E10" s="30"/>
      <c r="F10" s="31" t="s">
        <v>10</v>
      </c>
    </row>
    <row r="11" spans="1:6" ht="15.75" thickBot="1" x14ac:dyDescent="0.3"/>
    <row r="12" spans="1:6" ht="15.75" thickBot="1" x14ac:dyDescent="0.3">
      <c r="B12" s="125" t="s">
        <v>19</v>
      </c>
      <c r="C12" s="126"/>
      <c r="D12" s="32" t="s">
        <v>20</v>
      </c>
      <c r="E12" s="32" t="s">
        <v>4</v>
      </c>
      <c r="F12" s="33" t="s">
        <v>21</v>
      </c>
    </row>
    <row r="13" spans="1:6" ht="15.75" x14ac:dyDescent="0.25">
      <c r="C13" s="22" t="s">
        <v>104</v>
      </c>
      <c r="D13" s="34">
        <f>(D8*D7)</f>
        <v>3.6</v>
      </c>
      <c r="E13" s="35" t="s">
        <v>22</v>
      </c>
      <c r="F13" s="36" t="str">
        <f>D8 &amp; " kN/m * " &amp; ROUND(D7, D10) &amp; " m = " &amp; ROUND(D8 * ROUND(D7, D10), D10) &amp; " kN"</f>
        <v>7.2 kN/m * 0.5 m = 3.6 kN</v>
      </c>
    </row>
    <row r="14" spans="1:6" ht="15.75" x14ac:dyDescent="0.25">
      <c r="C14" s="24" t="s">
        <v>105</v>
      </c>
      <c r="D14" s="101">
        <v>351</v>
      </c>
      <c r="E14" s="37" t="s">
        <v>22</v>
      </c>
      <c r="F14" s="26" t="s">
        <v>89</v>
      </c>
    </row>
    <row r="15" spans="1:6" ht="16.5" thickBot="1" x14ac:dyDescent="0.3">
      <c r="C15" s="28" t="s">
        <v>23</v>
      </c>
      <c r="D15" s="39">
        <f>(D14*D5)</f>
        <v>3510</v>
      </c>
      <c r="E15" s="40" t="s">
        <v>24</v>
      </c>
      <c r="F15" s="41" t="str">
        <f>D14 &amp; " kN * " &amp; ROUND(D5, D10) &amp; " = " &amp; ROUND(D14 * ROUND(D5, D10), D10) &amp; " kN"</f>
        <v>351 kN * 10 = 3510 kN</v>
      </c>
    </row>
    <row r="16" spans="1:6" ht="15.75" thickBot="1" x14ac:dyDescent="0.3"/>
    <row r="17" spans="2:8" ht="15.75" thickBot="1" x14ac:dyDescent="0.3">
      <c r="B17" s="125" t="s">
        <v>25</v>
      </c>
      <c r="C17" s="126"/>
      <c r="D17" s="32" t="s">
        <v>20</v>
      </c>
      <c r="E17" s="32" t="s">
        <v>4</v>
      </c>
      <c r="F17" s="33" t="s">
        <v>21</v>
      </c>
    </row>
    <row r="18" spans="2:8" x14ac:dyDescent="0.25">
      <c r="C18" s="42" t="s">
        <v>90</v>
      </c>
      <c r="D18" s="120">
        <f>VLOOKUP(D4,'Durchlaufende Träger'!$A$2:$B$8,2,FALSE) * D15</f>
        <v>1386.45</v>
      </c>
      <c r="E18" s="35" t="s">
        <v>24</v>
      </c>
      <c r="F18" s="43" t="str">
        <f>IF(D18=0, "", VLOOKUP(D4, 'Durchlaufende Träger'!$A$2:$B$8, 2, FALSE) &amp; " * " &amp; ROUND(D15, D10) &amp; " kN = " &amp; ROUND(VLOOKUP(D4, 'Durchlaufende Träger'!$A$2:$B$8, 2, FALSE) * ROUND(D15, D10), D10) &amp; " kN")</f>
        <v>0.395 * 3510 kN = 1386.45 kN</v>
      </c>
    </row>
    <row r="19" spans="2:8" x14ac:dyDescent="0.25">
      <c r="C19" s="44" t="s">
        <v>91</v>
      </c>
      <c r="D19" s="86">
        <f>VLOOKUP(D4,'Durchlaufende Träger'!$A$2:$C$8,3,FALSE) * D15</f>
        <v>3973.3199999999997</v>
      </c>
      <c r="E19" s="37" t="s">
        <v>24</v>
      </c>
      <c r="F19" s="45" t="str">
        <f>IF(D19=0, "", VLOOKUP(D4, 'Durchlaufende Träger'!$A$2:$C$8, 3, FALSE) &amp; " * " &amp; ROUND(D15, D10) &amp; " kN = " &amp; ROUND(VLOOKUP(D4, 'Durchlaufende Träger'!$A$2:$C$8, 3, FALSE) * ROUND(D15, D10), D10) &amp; " kN")</f>
        <v>1.132 * 3510 kN = 3973.32 kN</v>
      </c>
    </row>
    <row r="20" spans="2:8" x14ac:dyDescent="0.25">
      <c r="C20" s="46" t="s">
        <v>92</v>
      </c>
      <c r="D20" s="87">
        <f>VLOOKUP(D4,'Durchlaufende Träger'!$A$2:$D$8,4,FALSE) * D15</f>
        <v>3415.23</v>
      </c>
      <c r="E20" s="37" t="s">
        <v>24</v>
      </c>
      <c r="F20" s="45" t="str">
        <f>IF(D20=0, "", VLOOKUP(D4, 'Durchlaufende Träger'!$A$2:$D$8, 4, FALSE) &amp; " * " &amp; ROUND(D15, D10) &amp; " kN = " &amp; ROUND(VLOOKUP(D4, 'Durchlaufende Träger'!$A$2:$D$8, 4, FALSE) * ROUND(D15, D10), D10) &amp; " kN")</f>
        <v>0.973 * 3510 kN = 3415.23 kN</v>
      </c>
    </row>
    <row r="21" spans="2:8" x14ac:dyDescent="0.25">
      <c r="C21" s="47" t="s">
        <v>93</v>
      </c>
      <c r="D21" s="87">
        <f>VLOOKUP(D4,'Durchlaufende Träger'!$A$2:$E$8,5,FALSE) * D15</f>
        <v>3415.23</v>
      </c>
      <c r="E21" s="37" t="s">
        <v>24</v>
      </c>
      <c r="F21" s="45" t="str">
        <f>IF(D21=0, "", VLOOKUP(D4, 'Durchlaufende Träger'!$A$2:$E$8, 5, FALSE) &amp; " * " &amp; ROUND(D15, D10) &amp; " kN = " &amp; ROUND(VLOOKUP(D4, 'Durchlaufende Träger'!$A$2:$E$8, 5, FALSE) * ROUND(D15, D10), D10) &amp; " kN")</f>
        <v>0.973 * 3510 kN = 3415.23 kN</v>
      </c>
    </row>
    <row r="22" spans="2:8" x14ac:dyDescent="0.25">
      <c r="C22" s="48" t="s">
        <v>94</v>
      </c>
      <c r="D22" s="86">
        <f>VLOOKUP(D4,'Durchlaufende Träger'!$A$2:$F$8,6,FALSE) * D15</f>
        <v>3973.3199999999997</v>
      </c>
      <c r="E22" s="37" t="s">
        <v>24</v>
      </c>
      <c r="F22" s="45" t="str">
        <f>IF(D22=0, "", VLOOKUP(D4, 'Durchlaufende Träger'!$A$2:$F$8, 6, FALSE) &amp; " * " &amp; ROUND(D15, D10) &amp; " kN = " &amp; ROUND(VLOOKUP(D4, 'Durchlaufende Träger'!$A$2:$F$8, 6, FALSE) * ROUND(D15, D10), D10) &amp; " kN")</f>
        <v>1.132 * 3510 kN = 3973.32 kN</v>
      </c>
    </row>
    <row r="23" spans="2:8" x14ac:dyDescent="0.25">
      <c r="C23" s="49" t="s">
        <v>95</v>
      </c>
      <c r="D23" s="85">
        <f>VLOOKUP(D4,'Durchlaufende Träger'!$A$2:$G$8,7,FALSE) * D15</f>
        <v>1386.45</v>
      </c>
      <c r="E23" s="37" t="s">
        <v>24</v>
      </c>
      <c r="F23" s="45" t="str">
        <f>IF(D23=0, "", VLOOKUP(D4, 'Durchlaufende Träger'!$A$2:$G$8, 7, FALSE) &amp; " * " &amp; ROUND(D15, D10) &amp; " kN = " &amp; ROUND(VLOOKUP(D4, 'Durchlaufende Träger'!$A$2:$G$8, 7, FALSE) * ROUND(D15, D10), D10) &amp; " kN")</f>
        <v>0.395 * 3510 kN = 1386.45 kN</v>
      </c>
    </row>
    <row r="24" spans="2:8" x14ac:dyDescent="0.25">
      <c r="C24" s="50" t="s">
        <v>96</v>
      </c>
      <c r="D24" s="128">
        <f>VLOOKUP(D4,'Durchlaufende Träger'!$A$2:$H$8,8,FALSE) * D15</f>
        <v>0</v>
      </c>
      <c r="E24" s="37" t="s">
        <v>24</v>
      </c>
      <c r="F24" s="45" t="str">
        <f>IF(D24=0, "", VLOOKUP(D4, 'Durchlaufende Träger'!$A$2:$H$8, 8, FALSE) &amp; " * " &amp; ROUND(D15, D10) &amp; " kN = " &amp; ROUND(VLOOKUP(D4, 'Durchlaufende Träger'!$A$2:$H$8, 8, FALSE) * ROUND(D15, D10), D10) &amp; " kN")</f>
        <v/>
      </c>
    </row>
    <row r="25" spans="2:8" ht="15.75" thickBot="1" x14ac:dyDescent="0.3">
      <c r="C25" s="51" t="s">
        <v>97</v>
      </c>
      <c r="D25" s="129">
        <f>VLOOKUP(D4,'Durchlaufende Träger'!$A$2:$I$8,9,FALSE) * D15</f>
        <v>0</v>
      </c>
      <c r="E25" s="40" t="s">
        <v>24</v>
      </c>
      <c r="F25" s="41" t="str">
        <f>IF(D25=0, "", VLOOKUP(D4, 'Durchlaufende Träger'!$A$2:$I$8, 9, FALSE) &amp; " * " &amp; ROUND(D15, D10) &amp; " kN = " &amp; ROUND(VLOOKUP(D4, 'Durchlaufende Träger'!$A$2:$I$8, 9, FALSE) * ROUND(D15, D10), D10) &amp; " kN")</f>
        <v/>
      </c>
    </row>
    <row r="26" spans="2:8" ht="15.75" thickBot="1" x14ac:dyDescent="0.3">
      <c r="G26" s="69"/>
      <c r="H26" s="69"/>
    </row>
    <row r="27" spans="2:8" ht="15.75" thickBot="1" x14ac:dyDescent="0.3">
      <c r="B27" s="125" t="s">
        <v>26</v>
      </c>
      <c r="C27" s="126"/>
      <c r="D27" s="32" t="s">
        <v>20</v>
      </c>
      <c r="E27" s="32" t="s">
        <v>4</v>
      </c>
      <c r="F27" s="33" t="s">
        <v>21</v>
      </c>
      <c r="G27" s="99">
        <f>VLOOKUP(D4,Tabelle1[],30,FALSE)</f>
        <v>7</v>
      </c>
      <c r="H27" s="69"/>
    </row>
    <row r="28" spans="2:8" x14ac:dyDescent="0.25">
      <c r="C28" s="103" t="str">
        <f>IF(D28="","",IF(D28=0,"Auflager 1, auf der Strecke",IF(D28&gt;0,"Auflager 1, unterhalb der Strecke","Auflager 1, oberhalb der Strecke")))</f>
        <v>Auflager 1, auf der Strecke</v>
      </c>
      <c r="D28" s="127" cm="1">
        <f t="array" ref="D28">IFERROR(IF(G28="", "", IF(ROW()-26 &lt; $G$27, G28, IF(ROW()-26 = $G$27, G28, IF(2 * $G$27 - (ROW()-26) &lt;= COUNT($G$28:$G$43), -INDEX($G$28:$G$43, 2 * $G$27 - (ROW()-26)), "")))), "")</f>
        <v>0</v>
      </c>
      <c r="E28" s="104" t="s">
        <v>24</v>
      </c>
      <c r="F28" s="23" t="s">
        <v>81</v>
      </c>
      <c r="G28" s="100">
        <v>0</v>
      </c>
      <c r="H28" s="69"/>
    </row>
    <row r="29" spans="2:8" x14ac:dyDescent="0.25">
      <c r="C29" s="105" t="str">
        <f>IF(D29="","",IF(D29=0,"Auflager 1, auf der Strecke",IF(D29&gt;0,"Auflager 1, unterhalb der Strecke","Auflager 1, oberhalb der Strecke")))</f>
        <v>Auflager 1, unterhalb der Strecke</v>
      </c>
      <c r="D29" s="119" cm="1">
        <f t="array" ref="D29">IFERROR(IF(G29="", "", IF(ROW()-26 &lt; $G$27, G29, IF(ROW()-26 = $G$27, G29, IF(2 * $G$27 - (ROW()-26) &lt;= COUNT($G$28:$G$43), -INDEX($G$28:$G$43, 2 * $G$27 - (ROW()-26)), "")))), "")</f>
        <v>1386.45</v>
      </c>
      <c r="E29" s="52" t="s">
        <v>24</v>
      </c>
      <c r="F29" s="26" t="s">
        <v>73</v>
      </c>
      <c r="G29" s="100">
        <f>IF(D18=0,"",D18)</f>
        <v>1386.45</v>
      </c>
      <c r="H29" s="69"/>
    </row>
    <row r="30" spans="2:8" x14ac:dyDescent="0.25">
      <c r="C30" s="106" t="str">
        <f>IF(D30="","",IF(D30=0,"Auflager 2, auf der Strecke",IF(D30&gt;0,"Auflager 2, unterhalb der Strecke","Auflager 2, oberhalb der Strecke")))</f>
        <v>Auflager 2, oberhalb der Strecke</v>
      </c>
      <c r="D30" s="118" cm="1">
        <f t="array" ref="D30">IFERROR(IF(G30="", "", IF(D29=0, "", IF(ROW()-26 &lt; $G$27, G30, IF(ROW()-26 = $G$27, G30, -INDEX($G$28:$G$43, 2 * $G$27 - (ROW()-26)))))), "")</f>
        <v>-2123.5500000000002</v>
      </c>
      <c r="E30" s="52" t="s">
        <v>24</v>
      </c>
      <c r="F30" s="45" t="str">
        <f>IF(OR(D29=0, D29=""), "", ROUND(D29, D10) &amp; " kN - " &amp; ROUND($D$14, D10) &amp; " kN * " &amp; ROUND($D$5, D10) &amp; " = " &amp; ROUND(D30, D10) &amp; " kN")</f>
        <v>1386.45 kN - 351 kN * 10 = -2123.55 kN</v>
      </c>
      <c r="G30" s="100">
        <f>IF(OR(G29=0, G29=""), "", G29 - D14 * D5)</f>
        <v>-2123.5500000000002</v>
      </c>
      <c r="H30" s="69"/>
    </row>
    <row r="31" spans="2:8" x14ac:dyDescent="0.25">
      <c r="C31" s="107" t="str">
        <f>IF(D31="","",IF(D31=0,"Auflager 2, auf der Strecke",IF(D31&gt;0,"Auflager 2, unterhalb der Strecke","Auflager 2, oberhalb der Strecke")))</f>
        <v>Auflager 2, unterhalb der Strecke</v>
      </c>
      <c r="D31" s="98" cm="1">
        <f t="array" ref="D31">IFERROR(IF(G31="", "", IF(D30=0, "", IF(ROW()-26 &lt; $G$27, G31, IF(ROW()-26 = $G$27, G31, -INDEX($G$28:$G$43, 2 * $G$27 - (ROW()-26)))))), "")</f>
        <v>1849.7699999999995</v>
      </c>
      <c r="E31" s="52" t="s">
        <v>24</v>
      </c>
      <c r="F31" s="45" t="str">
        <f>IF(OR(D30=0, D30=""), "", ROUND(D19, D10) &amp; " kN + " &amp; ROUND(D30, D10) &amp; " kN = " &amp; ROUND(D31, D10) &amp; " kN")</f>
        <v>3973.32 kN + -2123.55 kN = 1849.77 kN</v>
      </c>
      <c r="G31" s="100">
        <f>IF(OR(D19=0, D19=""), "", G30 + D19)</f>
        <v>1849.7699999999995</v>
      </c>
      <c r="H31" s="69"/>
    </row>
    <row r="32" spans="2:8" x14ac:dyDescent="0.25">
      <c r="C32" s="108" t="str">
        <f>IF(D32="","",IF(D32=0,"Auflager 3, auf der Strecke",IF(D32&gt;0,"Auflager 3, unterhalb der Strecke","Auflager 3, oberhalb der Strecke")))</f>
        <v>Auflager 3, oberhalb der Strecke</v>
      </c>
      <c r="D32" s="91" cm="1">
        <f t="array" ref="D32">IFERROR(IF(G32="", "", IF(D31=0, "", IF(ROW()-26 &lt; $G$27, G32, IF(ROW()-26 = $G$27, G32, -INDEX($G$28:$G$43, 2 * $G$27 - (ROW()-26)))))), "")</f>
        <v>-1660.2300000000005</v>
      </c>
      <c r="E32" s="52" t="s">
        <v>24</v>
      </c>
      <c r="F32" s="45" t="str">
        <f>IF(OR(D31=0, D31=""), "", ROUND(D31, D10) &amp; " kN - " &amp; ROUND($D$14, D10) &amp; " kN * " &amp; ROUND($D$5, D10) &amp; " = " &amp; ROUND(D32, D10) &amp; " kN")</f>
        <v>1849.77 kN - 351 kN * 10 = -1660.23 kN</v>
      </c>
      <c r="G32" s="100">
        <f>IF(OR(G31=0, G31=""), "", G31 - D14 * D5)</f>
        <v>-1660.2300000000005</v>
      </c>
      <c r="H32" s="69"/>
    </row>
    <row r="33" spans="3:8" x14ac:dyDescent="0.25">
      <c r="C33" s="109" t="str">
        <f>IF(D33="","",IF(D33=0,"Auflager 3, auf der Strecke",IF(D33&gt;0,"Auflager 3, unterhalb der Strecke","Auflager 3, oberhalb der Strecke")))</f>
        <v>Auflager 3, unterhalb der Strecke</v>
      </c>
      <c r="D33" s="85" cm="1">
        <f t="array" ref="D33">IFERROR(IF(G33="", "", IF(D32=0, "", IF(ROW()-26 &lt; $G$27, G33, IF(ROW()-26 = $G$27, G33, -INDEX($G$28:$G$43, 2 * $G$27 - (ROW()-26)))))), "")</f>
        <v>1754.9999999999995</v>
      </c>
      <c r="E33" s="52" t="s">
        <v>24</v>
      </c>
      <c r="F33" s="45" t="str">
        <f>IF(OR(D32=0, D32=""), "", ROUND(D32, D10) &amp; " kN + " &amp; ROUND(D20, D10) &amp; " kN = " &amp; ROUND(D33, D10) &amp; " kN")</f>
        <v>-1660.23 kN + 3415.23 kN = 1755 kN</v>
      </c>
      <c r="G33" s="100">
        <f>IF(OR(D20=0, D20=""), "", G32 + D20)</f>
        <v>1754.9999999999995</v>
      </c>
      <c r="H33" s="69"/>
    </row>
    <row r="34" spans="3:8" x14ac:dyDescent="0.25">
      <c r="C34" s="110" t="str">
        <f>IF(D34="","",IF(D34=0,"Auflager 4, auf der Strecke",IF(D34&gt;0,"Auflager 4, unterhalb der Strecke","Auflager 4, oberhalb der Strecke")))</f>
        <v>Auflager 4, oberhalb der Strecke</v>
      </c>
      <c r="D34" s="85" cm="1">
        <f t="array" ref="D34">IFERROR(IF(G34="", "", IF(D33=0, "", IF(ROW()-26 &lt; $G$27, G34, IF(ROW()-26 = $G$27, G34, -INDEX($G$28:$G$43, 2 * $G$27 - (ROW()-26)))))), "")</f>
        <v>-1754.9999999999995</v>
      </c>
      <c r="E34" s="52" t="s">
        <v>24</v>
      </c>
      <c r="F34" s="45" t="str">
        <f>IF(OR(D33=0, D33=""), "", ROUND(D33, D10) &amp; " kN - " &amp; ROUND($D$14, D10) &amp; " kN * " &amp; ROUND($D$5, D10) &amp; " = " &amp; ROUND(D34, D10) &amp; " kN")</f>
        <v>1755 kN - 351 kN * 10 = -1755 kN</v>
      </c>
      <c r="G34" s="100">
        <f>IF(OR(G33=0, G33=""), "", G33 - D14 * D5)</f>
        <v>-1755.0000000000005</v>
      </c>
      <c r="H34" s="69"/>
    </row>
    <row r="35" spans="3:8" x14ac:dyDescent="0.25">
      <c r="C35" s="111" t="str">
        <f>IF(D35="","",IF(D35=0,"Auflager 4, auf der Strecke",IF(D35&gt;0,"Auflager 4, unterhalb der Strecke","Auflager 4, oberhalb der Strecke")))</f>
        <v>Auflager 4, unterhalb der Strecke</v>
      </c>
      <c r="D35" s="91" cm="1">
        <f t="array" ref="D35">IFERROR(IF(G35="", "", IF(D34=0, "", IF(ROW()-26 &lt; $G$27, G35, IF(ROW()-26 = $G$27, G35, -INDEX($G$28:$G$43, 2 * $G$27 - (ROW()-26)))))), "")</f>
        <v>1660.2300000000005</v>
      </c>
      <c r="E35" s="52" t="s">
        <v>24</v>
      </c>
      <c r="F35" s="45" t="str">
        <f>IF(OR(D34=0, D34=""), "", ROUND(D34, D10) &amp; " kN + " &amp; ROUND(D21, D10) &amp; " kN = " &amp; ROUND(D35, D10) &amp; " kN")</f>
        <v>-1755 kN + 3415.23 kN = 1660.23 kN</v>
      </c>
      <c r="G35" s="100">
        <f>IF(OR(D21=0, D21=""), "", G34 + D21)</f>
        <v>1660.2299999999996</v>
      </c>
      <c r="H35" s="69"/>
    </row>
    <row r="36" spans="3:8" x14ac:dyDescent="0.25">
      <c r="C36" s="112" t="str">
        <f>IF(D36="","",IF(D36=0,"Auflager 5, auf der Strecke",IF(D36&gt;0,"Auflager 5, unterhalb der Strecke","Auflager 5, oberhalb der Strecke")))</f>
        <v>Auflager 5, oberhalb der Strecke</v>
      </c>
      <c r="D36" s="98" cm="1">
        <f t="array" ref="D36">IFERROR(IF(G36="", "", IF(D35=0, "", IF(ROW()-26 &lt; $G$27, G36, IF(ROW()-26 = $G$27, G36, -INDEX($G$28:$G$43, 2 * $G$27 - (ROW()-26)))))), "")</f>
        <v>-1849.7699999999995</v>
      </c>
      <c r="E36" s="52" t="s">
        <v>24</v>
      </c>
      <c r="F36" s="45" t="str">
        <f>IF(OR(D35=0, D35=""), "", ROUND(D35, D10) &amp; " kN - " &amp; ROUND(D14, D10) &amp; " kN * " &amp; ROUND(D5, D10) &amp; " = " &amp; ROUND(D36, D10) &amp; " kN")</f>
        <v>1660.23 kN - 351 kN * 10 = -1849.77 kN</v>
      </c>
      <c r="G36" s="100">
        <f>IF(OR(G35=0, G35=""), "", G35 - D14 * D5)</f>
        <v>-1849.7700000000004</v>
      </c>
      <c r="H36" s="69"/>
    </row>
    <row r="37" spans="3:8" x14ac:dyDescent="0.25">
      <c r="C37" s="113" t="str">
        <f>IF(D37="","",IF(D37=0,"Auflager 5, auf der Strecke",IF(D37&gt;0,"Auflager 5, unterhalb der Strecke","Auflager 5, oberhalb der Strecke")))</f>
        <v>Auflager 5, unterhalb der Strecke</v>
      </c>
      <c r="D37" s="118" cm="1">
        <f t="array" ref="D37">IFERROR(IF(G37="", "", IF(D36=0, "", IF(ROW()-26 &lt; $G$27, G37, IF(ROW()-26 = $G$27, G37, -INDEX($G$28:$G$43, 2 * $G$27 - (ROW()-26)))))), "")</f>
        <v>2123.5500000000002</v>
      </c>
      <c r="E37" s="52" t="s">
        <v>24</v>
      </c>
      <c r="F37" s="45" t="str">
        <f>IF(OR(D36=0, D36=""), "", ROUND(D36, D10) &amp; " kN + " &amp; ROUND(D22, D10) &amp; " kN = " &amp; ROUND(D37, D10) &amp; " kN")</f>
        <v>-1849.77 kN + 3973.32 kN = 2123.55 kN</v>
      </c>
      <c r="G37" s="100">
        <f>IF(OR(D22=0, D22=""), "", G36 + D22)</f>
        <v>2123.5499999999993</v>
      </c>
      <c r="H37" s="69"/>
    </row>
    <row r="38" spans="3:8" x14ac:dyDescent="0.25">
      <c r="C38" s="114" t="str">
        <f>IF(D38="","",IF(D38=0,"Auflager 6, auf der Strecke",IF(D38&gt;0,"Auflager 6, unterhalb der Strecke","Auflager 6, oberhalb der Strecke")))</f>
        <v>Auflager 6, oberhalb der Strecke</v>
      </c>
      <c r="D38" s="119" cm="1">
        <f t="array" ref="D38">IFERROR(IF(G38="", "", IF(D37=0, "", IF(ROW()-26 &lt; $G$27, G38, IF(ROW()-26 = $G$27, G38, -INDEX($G$28:$G$43, 2 * $G$27 - (ROW()-26)))))), "")</f>
        <v>-1386.45</v>
      </c>
      <c r="E38" s="52" t="s">
        <v>24</v>
      </c>
      <c r="F38" s="45" t="str">
        <f>IF(OR(D37=0, D37=""), "", ROUND(D37, D10) &amp; " kN - " &amp; ROUND($D$14, D10) &amp; " kN * " &amp; ROUND($D$5, D10) &amp; " = " &amp; ROUND(D38, D10) &amp; " kN")</f>
        <v>2123.55 kN - 351 kN * 10 = -1386.45 kN</v>
      </c>
      <c r="G38" s="100">
        <f>IF(OR(G37=0, G37=""), "", G37 - D14 * D5)</f>
        <v>-1386.4500000000007</v>
      </c>
      <c r="H38" s="69"/>
    </row>
    <row r="39" spans="3:8" x14ac:dyDescent="0.25">
      <c r="C39" s="115" t="str">
        <f>IF(D39="","",IF(D39=0,"Auflager 6, auf der Strecke",IF(D39&gt;0,"Auflager 6, unterhalb der Strecke","Auflager 6, oberhalb der Strecke")))</f>
        <v>Auflager 6, auf der Strecke</v>
      </c>
      <c r="D39" s="128" cm="1">
        <f t="array" ref="D39">IFERROR(IF(G39="", "", IF(D38=0, "", IF(ROW()-26 &lt; $G$27, G39, IF(ROW()-26 = $G$27, G39, -INDEX($G$28:$G$43, 2 * $G$27 - (ROW()-26)))))), "")</f>
        <v>0</v>
      </c>
      <c r="E39" s="52" t="s">
        <v>24</v>
      </c>
      <c r="F39" s="45" t="str">
        <f>IF(OR(D38=0, D38=""), "", ROUND(D38, D10) &amp; " kN + " &amp; ROUND(D23, D10) &amp; " kN = " &amp; ROUND(D39, D10) &amp; " kN")</f>
        <v>-1386.45 kN + 1386.45 kN = 0 kN</v>
      </c>
      <c r="G39" s="100">
        <f>IF(OR(D23=0, D23=""), "", G38 + D23)</f>
        <v>-6.8212102632969618E-13</v>
      </c>
      <c r="H39" s="69"/>
    </row>
    <row r="40" spans="3:8" x14ac:dyDescent="0.25">
      <c r="C40" s="116" t="str">
        <f>IF(D40="","",IF(D40=0,"Auflager 7, auf der Strecke",IF(D40&gt;0,"Auflager 7, unterhalb der Strecke","Auflager 7, oberhalb der Strecke")))</f>
        <v/>
      </c>
      <c r="D40" s="128" t="str" cm="1">
        <f t="array" ref="D40">IFERROR(IF(G40="", "", IF(D39=0, "", IF(ROW()-26 &lt; $G$27, G40, IF(ROW()-26 = $G$27, G40, -INDEX($G$28:$G$43, 2 * $G$27 - (ROW()-26)))))), "")</f>
        <v/>
      </c>
      <c r="E40" s="52" t="s">
        <v>24</v>
      </c>
      <c r="F40" s="45" t="str">
        <f>IF(OR(D39=0, D39=""), "", ROUND(D39, D10) &amp; " kN - " &amp; ROUND($D$14, D10) &amp; " kN * " &amp; ROUND($D$5, D10) &amp; " = " &amp; ROUND(D40, D10) &amp; " kN")</f>
        <v/>
      </c>
      <c r="G40" s="100">
        <f>IF(OR(G39=0, G39=""), "", G39 - D14 * D5)</f>
        <v>-3510.0000000000009</v>
      </c>
      <c r="H40" s="69"/>
    </row>
    <row r="41" spans="3:8" x14ac:dyDescent="0.25">
      <c r="C41" s="117" t="str">
        <f>IF(D41="","",IF(D41=0,"Auflager 7, auf der Strecke",IF(D41&gt;0,"Auflager 7, unterhalb der Strecke","Auflager 7, oberhalb der Strecke")))</f>
        <v/>
      </c>
      <c r="D41" s="128" t="str" cm="1">
        <f t="array" ref="D41">IFERROR(IF(G41="", "", IF(D40=0, "", IF(ROW()-26 &lt; $G$27, G41, IF(ROW()-26 = $G$27, G41, -INDEX($G$28:$G$43, 2 * $G$27 - (ROW()-26)))))), "")</f>
        <v/>
      </c>
      <c r="E41" s="52" t="s">
        <v>24</v>
      </c>
      <c r="F41" s="45" t="str">
        <f>IF(OR(D40=0, D40=""), "", ROUND(D40, D10) &amp; " kN + " &amp; ROUND(D24, D10) &amp; " kN = " &amp; ROUND(D41, D10) &amp; " kN")</f>
        <v/>
      </c>
      <c r="G41" s="100" t="str">
        <f>IF(OR(D24=0, D24=""), "", G40 + D24)</f>
        <v/>
      </c>
      <c r="H41" s="69"/>
    </row>
    <row r="42" spans="3:8" x14ac:dyDescent="0.25">
      <c r="C42" s="53" t="str">
        <f>IF(D42="","",IF(D42=0,"Auflager 8, auf der Strecke",IF(D42&gt;0,"Auflager 8, unterhalb der Strecke","Auflager 8, oberhalb der Strecke")))</f>
        <v/>
      </c>
      <c r="D42" s="128" t="str" cm="1">
        <f t="array" ref="D42">IFERROR(IF(G42="", "", IF(D41=0, "", IF(ROW()-26 &lt; $G$27, G42, IF(ROW()-26 = $G$27, G42, -INDEX($G$28:$G$43, 2 * $G$27 - (ROW()-26)))))), "")</f>
        <v/>
      </c>
      <c r="E42" s="52" t="s">
        <v>24</v>
      </c>
      <c r="F42" s="45" t="str">
        <f>IF(OR(D41=0, D41=""), "", ROUND(G41, D10) &amp; " kN - " &amp; ROUND($D$14, D10) &amp; " kN * " &amp; ROUND($D$5, D10) &amp; " = " &amp; ROUND(D42, D10) &amp; " kN")</f>
        <v/>
      </c>
      <c r="G42" s="100" t="str">
        <f>IF(OR(G41=0, G41=""), "", G41 - D14 * D5)</f>
        <v/>
      </c>
      <c r="H42" s="69"/>
    </row>
    <row r="43" spans="3:8" ht="15.75" thickBot="1" x14ac:dyDescent="0.3">
      <c r="C43" s="51" t="str">
        <f>IF(D43="","",IF(D43=0,"Auflager 8, auf der Strecke",IF(D43&gt;0,"Auflager 8, unterhalb der Strecke","Auflager 8, oberhalb der Strecke")))</f>
        <v/>
      </c>
      <c r="D43" s="129" t="str" cm="1">
        <f t="array" ref="D43">IFERROR(IF(G43="", "", IF(D42=0, "", IF(ROW()-26 &lt; $G$27, G43, IF(ROW()-26 = $G$27, G43, -INDEX($G$28:$G$43, 2 * $G$27 - (ROW()-26)))))), "")</f>
        <v/>
      </c>
      <c r="E43" s="54" t="s">
        <v>24</v>
      </c>
      <c r="F43" s="41" t="str">
        <f>IF(OR(D25=0, D25=""), "", ROUND(G42, D10) &amp; " kN + " &amp; ROUND(D25, D10) &amp; " kN = " &amp; ROUND(D43, D10) &amp; " kN")</f>
        <v/>
      </c>
      <c r="G43" s="100" t="str">
        <f>IF(OR(D25=0, D25=""), "", G42 + D25)</f>
        <v/>
      </c>
      <c r="H43" s="69"/>
    </row>
    <row r="44" spans="3:8" ht="15.75" thickBot="1" x14ac:dyDescent="0.3">
      <c r="C44" s="55" t="s">
        <v>27</v>
      </c>
      <c r="D44" s="56" cm="1">
        <f t="array" ref="D44">_xlfn.AGGREGATE(14, 6, ABS(ROUND(D28:D43, D10)), 1)</f>
        <v>2123.5500000000002</v>
      </c>
      <c r="E44" s="57" t="s">
        <v>24</v>
      </c>
      <c r="F44" s="58"/>
      <c r="G44" s="100"/>
      <c r="H44" s="69"/>
    </row>
    <row r="45" spans="3:8" x14ac:dyDescent="0.25">
      <c r="C45" s="59"/>
      <c r="D45" s="60"/>
      <c r="E45" s="61"/>
      <c r="F45" s="62"/>
      <c r="G45" s="69"/>
      <c r="H45" s="69"/>
    </row>
    <row r="46" spans="3:8" x14ac:dyDescent="0.25">
      <c r="C46" s="63"/>
      <c r="D46" s="64"/>
      <c r="F46" s="38"/>
      <c r="H46" s="69"/>
    </row>
    <row r="47" spans="3:8" x14ac:dyDescent="0.25">
      <c r="C47" s="63"/>
      <c r="D47" s="64"/>
      <c r="F47" s="38"/>
    </row>
    <row r="48" spans="3:8" x14ac:dyDescent="0.25">
      <c r="C48" s="63"/>
      <c r="D48" s="64"/>
      <c r="F48" s="38"/>
    </row>
    <row r="49" spans="2:14" x14ac:dyDescent="0.25">
      <c r="C49" s="63"/>
      <c r="D49" s="65"/>
      <c r="F49" s="38"/>
    </row>
    <row r="50" spans="2:14" x14ac:dyDescent="0.25">
      <c r="C50" s="63"/>
      <c r="D50" s="65"/>
      <c r="F50" s="38"/>
    </row>
    <row r="51" spans="2:14" x14ac:dyDescent="0.25">
      <c r="C51" s="63"/>
      <c r="D51" s="65"/>
      <c r="F51" s="38"/>
    </row>
    <row r="52" spans="2:14" x14ac:dyDescent="0.25">
      <c r="C52" s="63"/>
      <c r="D52" s="65"/>
      <c r="F52" s="38"/>
    </row>
    <row r="53" spans="2:14" x14ac:dyDescent="0.25">
      <c r="C53" s="63"/>
      <c r="D53" s="65"/>
      <c r="F53" s="38"/>
    </row>
    <row r="54" spans="2:14" x14ac:dyDescent="0.25">
      <c r="C54" s="63"/>
      <c r="D54" s="65"/>
      <c r="F54" s="38"/>
    </row>
    <row r="55" spans="2:14" x14ac:dyDescent="0.25">
      <c r="C55" s="63"/>
      <c r="D55" s="65"/>
      <c r="F55" s="38"/>
    </row>
    <row r="56" spans="2:14" x14ac:dyDescent="0.25">
      <c r="C56" s="63"/>
      <c r="D56" s="65"/>
      <c r="F56" s="38"/>
    </row>
    <row r="57" spans="2:14" x14ac:dyDescent="0.25">
      <c r="C57" s="63"/>
      <c r="D57" s="65"/>
      <c r="F57" s="38"/>
    </row>
    <row r="58" spans="2:14" x14ac:dyDescent="0.25">
      <c r="C58" s="63"/>
      <c r="D58" s="65"/>
      <c r="F58" s="38"/>
    </row>
    <row r="59" spans="2:14" x14ac:dyDescent="0.25">
      <c r="C59" s="63"/>
      <c r="D59" s="65"/>
      <c r="F59" s="38"/>
    </row>
    <row r="60" spans="2:14" x14ac:dyDescent="0.25">
      <c r="C60" s="63"/>
      <c r="D60" s="65"/>
      <c r="F60" s="38"/>
    </row>
    <row r="61" spans="2:14" x14ac:dyDescent="0.25">
      <c r="C61" s="63"/>
      <c r="D61" s="65"/>
      <c r="F61" s="38"/>
    </row>
    <row r="62" spans="2:14" ht="15.75" thickBot="1" x14ac:dyDescent="0.3">
      <c r="C62" s="66"/>
      <c r="D62" s="67"/>
      <c r="E62" s="30"/>
      <c r="F62" s="68"/>
    </row>
    <row r="63" spans="2:14" ht="15.75" thickBot="1" x14ac:dyDescent="0.3"/>
    <row r="64" spans="2:14" ht="15.75" thickBot="1" x14ac:dyDescent="0.3">
      <c r="B64" s="125" t="s">
        <v>82</v>
      </c>
      <c r="C64" s="126"/>
      <c r="D64" s="32" t="s">
        <v>20</v>
      </c>
      <c r="E64" s="32" t="s">
        <v>4</v>
      </c>
      <c r="F64" s="33" t="s">
        <v>21</v>
      </c>
      <c r="G64" s="69"/>
      <c r="H64" s="69"/>
      <c r="I64" s="69"/>
      <c r="J64" s="69"/>
      <c r="K64" s="69"/>
      <c r="L64" s="69"/>
      <c r="M64" s="69"/>
      <c r="N64" s="69"/>
    </row>
    <row r="65" spans="3:14" x14ac:dyDescent="0.25">
      <c r="C65" s="24" t="s">
        <v>74</v>
      </c>
      <c r="D65" s="121" cm="1">
        <f t="array" ref="D65:D69">_xlfn._xlws.FILTER(G65:G71, G65:G71&lt;&gt;0)</f>
        <v>2734.29</v>
      </c>
      <c r="E65" s="35" t="s">
        <v>29</v>
      </c>
      <c r="F65" s="45" t="str" cm="1">
        <f t="array" ref="F65:F69">_xlfn._xlws.FILTER(H65:H71, H65:H71&lt;&gt;"")</f>
        <v>0.0779 * 351 kN * 10² = 2734.29 kN</v>
      </c>
      <c r="G65" s="69">
        <f>VLOOKUP(D4, 'Durchlaufende Träger'!$A$2:$AA$7, 10, FALSE) * D14 * D5^2</f>
        <v>2734.29</v>
      </c>
      <c r="H65" s="69" t="str">
        <f>IF(G65=0, "", VLOOKUP(D4, 'Durchlaufende Träger'!$A$2:$AA$7, 10, FALSE) &amp; " * " &amp; ROUND(D14, D10) &amp; " kN * " &amp; ROUND(D5, D10) &amp; "² = " &amp; ROUND(VLOOKUP(D4, 'Durchlaufende Träger'!$A$2:$AA$7, 10, FALSE) * ROUND(D14, D10) * ROUND(D5^2, D10), D10) &amp; " kN")</f>
        <v>0.0779 * 351 kN * 10² = 2734.29 kN</v>
      </c>
      <c r="I65" s="69"/>
      <c r="J65" s="69"/>
      <c r="K65" s="69"/>
      <c r="L65" s="69"/>
      <c r="M65" s="69"/>
      <c r="N65" s="69"/>
    </row>
    <row r="66" spans="3:14" x14ac:dyDescent="0.25">
      <c r="C66" s="70" t="s">
        <v>75</v>
      </c>
      <c r="D66" s="87">
        <v>1165.32</v>
      </c>
      <c r="E66" s="37" t="s">
        <v>29</v>
      </c>
      <c r="F66" s="45" t="str">
        <v>0.0332 * 351 kN * 10² = 1165.32 kN</v>
      </c>
      <c r="G66" s="69">
        <f>VLOOKUP(D4, 'Durchlaufende Träger'!$A$2:$AA$7, 11, FALSE) * D14 * D5^2</f>
        <v>1165.32</v>
      </c>
      <c r="H66" s="69" t="str">
        <f>IF(G66=0, "", VLOOKUP(D4, 'Durchlaufende Träger'!$A$2:$AA$7, 11, FALSE) &amp; " * " &amp; ROUND(D14, D10) &amp; " kN * " &amp; ROUND(D5, D10) &amp; "² = " &amp; ROUND(VLOOKUP(D4, 'Durchlaufende Träger'!$A$2:$AA$7, 11, FALSE) * ROUND(D14, D10) * ROUND(D5^2, D10), D10) &amp; " kN")</f>
        <v>0.0332 * 351 kN * 10² = 1165.32 kN</v>
      </c>
      <c r="I66" s="69"/>
      <c r="J66" s="69"/>
      <c r="K66" s="69"/>
      <c r="L66" s="69"/>
      <c r="M66" s="69"/>
      <c r="N66" s="69"/>
    </row>
    <row r="67" spans="3:14" x14ac:dyDescent="0.25">
      <c r="C67" s="70" t="s">
        <v>76</v>
      </c>
      <c r="D67" s="128">
        <v>1618.1100000000001</v>
      </c>
      <c r="E67" s="37" t="s">
        <v>29</v>
      </c>
      <c r="F67" s="45" t="str">
        <v>0.0461 * 351 kN * 10² = 1618.11 kN</v>
      </c>
      <c r="G67" s="69">
        <f>VLOOKUP(D4, 'Durchlaufende Träger'!$A$2:$AA$7, 12, FALSE) * D14 * D5^2</f>
        <v>1618.1100000000001</v>
      </c>
      <c r="H67" s="69" t="str">
        <f>IF(G67=0, "", VLOOKUP(D4, 'Durchlaufende Träger'!$A$2:$AA$7, 12, FALSE) &amp; " * " &amp; ROUND(D14, D10) &amp; " kN * " &amp; ROUND(D5, D10) &amp; "² = " &amp; ROUND(VLOOKUP(D4, 'Durchlaufende Träger'!$A$2:$AA$7, 12, FALSE) * ROUND(D14, D10) * ROUND(D5^2, D10), D10) &amp; " kN")</f>
        <v>0.0461 * 351 kN * 10² = 1618.11 kN</v>
      </c>
      <c r="I67" s="69"/>
      <c r="J67" s="69"/>
      <c r="K67" s="69"/>
      <c r="L67" s="69"/>
      <c r="M67" s="69"/>
      <c r="N67" s="69"/>
    </row>
    <row r="68" spans="3:14" x14ac:dyDescent="0.25">
      <c r="C68" s="70" t="s">
        <v>77</v>
      </c>
      <c r="D68" s="87">
        <v>1165.32</v>
      </c>
      <c r="E68" s="37" t="s">
        <v>29</v>
      </c>
      <c r="F68" s="45" t="str">
        <v>0.0332 * 351 kN * 10² = 1165.32 kN</v>
      </c>
      <c r="G68" s="69">
        <f>VLOOKUP(D4, 'Durchlaufende Träger'!$A$2:$AA$7, 13, FALSE) * D14 * D5^2</f>
        <v>1165.32</v>
      </c>
      <c r="H68" s="69" t="str">
        <f>IF(G68=0, "", VLOOKUP(D4, 'Durchlaufende Träger'!$A$2:$AA$7, 13, FALSE) &amp; " * " &amp; ROUND(D14, D10) &amp; " kN * " &amp; ROUND(D5, D10) &amp; "² = " &amp; ROUND(VLOOKUP(D4, 'Durchlaufende Träger'!$A$2:$AA$7, 13, FALSE) * ROUND(D14, D10) * ROUND(D5^2, D10), D10) &amp; " kN")</f>
        <v>0.0332 * 351 kN * 10² = 1165.32 kN</v>
      </c>
      <c r="I68" s="69"/>
      <c r="J68" s="69"/>
      <c r="K68" s="69"/>
      <c r="L68" s="69"/>
      <c r="M68" s="69"/>
      <c r="N68" s="69"/>
    </row>
    <row r="69" spans="3:14" x14ac:dyDescent="0.25">
      <c r="C69" s="70" t="s">
        <v>78</v>
      </c>
      <c r="D69" s="86">
        <v>2734.29</v>
      </c>
      <c r="E69" s="37" t="s">
        <v>29</v>
      </c>
      <c r="F69" s="45" t="str">
        <v>0.0779 * 351 kN * 10² = 2734.29 kN</v>
      </c>
      <c r="G69" s="69">
        <f>VLOOKUP(D4, 'Durchlaufende Träger'!$A$2:$AA$7, 14, FALSE) * D14 * D5^2</f>
        <v>2734.29</v>
      </c>
      <c r="H69" s="69" t="str">
        <f>IF(G69=0, "", VLOOKUP(D4, 'Durchlaufende Träger'!$A$2:$AA$7, 14, FALSE) &amp; " * " &amp; ROUND(D14, D10) &amp; " kN * " &amp; ROUND(D5, D10) &amp; "² = " &amp; ROUND(VLOOKUP(D4, 'Durchlaufende Träger'!$A$2:$AA$7, 14, FALSE) * ROUND(D14, D10) * ROUND(D5^2, D10), D10) &amp; " kN")</f>
        <v>0.0779 * 351 kN * 10² = 2734.29 kN</v>
      </c>
      <c r="I69" s="69"/>
      <c r="J69" s="69"/>
      <c r="K69" s="69"/>
      <c r="L69" s="69"/>
      <c r="M69" s="69"/>
      <c r="N69" s="69"/>
    </row>
    <row r="70" spans="3:14" x14ac:dyDescent="0.25">
      <c r="C70" s="70" t="s">
        <v>79</v>
      </c>
      <c r="D70" s="128"/>
      <c r="E70" s="37" t="s">
        <v>29</v>
      </c>
      <c r="F70" s="45"/>
      <c r="G70" s="69">
        <f>VLOOKUP(D4, 'Durchlaufende Träger'!$A$2:$AA$7, 15, FALSE) * D14 * D5^2</f>
        <v>0</v>
      </c>
      <c r="H70" s="69" t="str">
        <f>IF(G70=0, "", VLOOKUP(D4, 'Durchlaufende Träger'!$A$2:$AA$7, 15, FALSE) &amp; " * " &amp; ROUND(D14, D10) &amp; " kN * " &amp; ROUND(D5, D10) &amp; "² = " &amp; ROUND(VLOOKUP(D4, 'Durchlaufende Träger'!$A$2:$AA$7, 15, FALSE) * ROUND(D14, D10) * ROUND(D5^2, D10), D10) &amp; " kN")</f>
        <v/>
      </c>
      <c r="I70" s="69"/>
      <c r="J70" s="69"/>
      <c r="K70" s="69"/>
      <c r="L70" s="69"/>
      <c r="M70" s="69"/>
      <c r="N70" s="69"/>
    </row>
    <row r="71" spans="3:14" x14ac:dyDescent="0.25">
      <c r="C71" s="70" t="s">
        <v>80</v>
      </c>
      <c r="D71" s="128"/>
      <c r="E71" s="37" t="s">
        <v>29</v>
      </c>
      <c r="F71" s="71"/>
      <c r="G71" s="69">
        <f>VLOOKUP(D4, 'Durchlaufende Träger'!$A$2:$AA$7, 16, FALSE) * D14 * D5^2</f>
        <v>0</v>
      </c>
      <c r="H71" s="69" t="str">
        <f>IF(G71=0, "", VLOOKUP(D4, 'Durchlaufende Träger'!$A$2:$AA$7, 16, FALSE) &amp; " * " &amp; ROUND(D14, D10) &amp; " kN * " &amp; ROUND(D5, D10) &amp; "² = " &amp; ROUND(VLOOKUP(D4, 'Durchlaufende Träger'!$A$2:$AA$7, 16, FALSE) * ROUND(D14, D10) * ROUND(D5^2, D10), D10) &amp; " kN")</f>
        <v/>
      </c>
      <c r="I71" s="69"/>
      <c r="J71" s="69"/>
      <c r="K71" s="69"/>
      <c r="L71" s="69"/>
      <c r="M71" s="69"/>
      <c r="N71" s="69"/>
    </row>
    <row r="72" spans="3:14" x14ac:dyDescent="0.25">
      <c r="C72" s="92" t="s">
        <v>98</v>
      </c>
      <c r="D72" s="122" cm="1">
        <f t="array" ref="D72:D75">_xlfn._xlws.FILTER(G72:G77, G72:G77&lt;&gt;0)</f>
        <v>-3696.03</v>
      </c>
      <c r="E72" s="72" t="s">
        <v>29</v>
      </c>
      <c r="F72" s="73" t="str" cm="1">
        <f t="array" ref="F72:F75">_xlfn._xlws.FILTER(H72:H77, H72:H77&lt;&gt;"")</f>
        <v>-0.1053 * 351 kN * 10² = -3696.03 kN</v>
      </c>
      <c r="G72" s="69">
        <f>VLOOKUP($D$4, 'Durchlaufende Träger'!$A$2:$AA$7, 17, FALSE) * $D$14 * $D$5^2</f>
        <v>-3696.03</v>
      </c>
      <c r="H72" s="69" t="str">
        <f>IF(G72=D155, "", VLOOKUP($D$4, 'Durchlaufende Träger'!$A$2:$AA$7, 17, FALSE) &amp; " * " &amp; ROUND($D$14, D10) &amp; " kN * " &amp; ROUND($D$5, D10) &amp; "² = " &amp; ROUND(VLOOKUP($D$4, 'Durchlaufende Träger'!$A$2:$AA$7, 17, FALSE) * ROUND($D$14, D10) * ROUND($D$5^2, D10), D10) &amp; " kN")</f>
        <v>-0.1053 * 351 kN * 10² = -3696.03 kN</v>
      </c>
      <c r="I72" s="69"/>
      <c r="J72" s="69"/>
      <c r="K72" s="69"/>
      <c r="L72" s="69"/>
      <c r="M72" s="69"/>
      <c r="N72" s="69"/>
    </row>
    <row r="73" spans="3:14" x14ac:dyDescent="0.25">
      <c r="C73" s="46" t="s">
        <v>99</v>
      </c>
      <c r="D73" s="98">
        <v>-2769.39</v>
      </c>
      <c r="E73" s="37" t="s">
        <v>29</v>
      </c>
      <c r="F73" s="45" t="str">
        <v>-0.0789 * 351 kN * 10² = -2769.39 kN</v>
      </c>
      <c r="G73" s="69">
        <f>VLOOKUP($D$4, 'Durchlaufende Träger'!$A$2:$AA$7, 18, FALSE) * $D$14 * $D$5^2</f>
        <v>-2769.39</v>
      </c>
      <c r="H73" s="69" t="str">
        <f>IF(G73=0, "", VLOOKUP($D$4, 'Durchlaufende Träger'!$A$2:$AA$7, 18, FALSE) &amp; " * " &amp; ROUND($D$14, D10) &amp; " kN * " &amp; ROUND($D$5, D10) &amp; "² = " &amp; ROUND(VLOOKUP($D$4, 'Durchlaufende Träger'!$A$2:$AA$7, 18, FALSE) * ROUND($D$14, D10) * ROUND($D$5^2, D10), D10) &amp; " kN")</f>
        <v>-0.0789 * 351 kN * 10² = -2769.39 kN</v>
      </c>
      <c r="I73" s="69"/>
      <c r="J73" s="69"/>
      <c r="K73" s="69"/>
      <c r="L73" s="69"/>
      <c r="M73" s="69"/>
      <c r="N73" s="69"/>
    </row>
    <row r="74" spans="3:14" x14ac:dyDescent="0.25">
      <c r="C74" s="47" t="s">
        <v>100</v>
      </c>
      <c r="D74" s="98">
        <v>-2769.39</v>
      </c>
      <c r="E74" s="37" t="s">
        <v>29</v>
      </c>
      <c r="F74" s="45" t="str">
        <v>-0.0789 * 351 kN * 10² = -2769.39 kN</v>
      </c>
      <c r="G74" s="69">
        <f>VLOOKUP($D$4, 'Durchlaufende Träger'!$A$2:$AA$7, 19, FALSE) * $D$14 * $D$5^2</f>
        <v>-2769.39</v>
      </c>
      <c r="H74" s="69" t="str">
        <f>IF(G74=0, "", VLOOKUP($D$4, 'Durchlaufende Träger'!$A$2:$AA$7, 19, FALSE) &amp; " * " &amp; ROUND($D$14, D10) &amp; " kN * " &amp; ROUND($D$5, D10) &amp; "² = " &amp; ROUND(VLOOKUP($D$4, 'Durchlaufende Träger'!$A$2:$AA$7, 19, FALSE) * ROUND($D$14, D10) * ROUND($D$5^2, D10), D10) &amp; " kN")</f>
        <v>-0.0789 * 351 kN * 10² = -2769.39 kN</v>
      </c>
      <c r="I74" s="69"/>
      <c r="J74" s="69"/>
      <c r="K74" s="69"/>
      <c r="L74" s="69"/>
      <c r="M74" s="69"/>
      <c r="N74" s="69"/>
    </row>
    <row r="75" spans="3:14" x14ac:dyDescent="0.25">
      <c r="C75" s="48" t="s">
        <v>101</v>
      </c>
      <c r="D75" s="118">
        <v>-3696.03</v>
      </c>
      <c r="E75" s="37" t="s">
        <v>29</v>
      </c>
      <c r="F75" s="45" t="str">
        <v>-0.1053 * 351 kN * 10² = -3696.03 kN</v>
      </c>
      <c r="G75" s="69">
        <f>VLOOKUP($D$4, 'Durchlaufende Träger'!$A$2:$AA$7, 20, FALSE) * $D$14 * $D$5^2</f>
        <v>-3696.03</v>
      </c>
      <c r="H75" s="69" t="str">
        <f>IF(G75=0, "", VLOOKUP($D$4, 'Durchlaufende Träger'!$A$2:$AA$7, 20, FALSE) &amp; " * " &amp; ROUND($D$14, D10) &amp; " kN * " &amp; ROUND($D$5, D10) &amp; "² = " &amp; ROUND(VLOOKUP($D$4, 'Durchlaufende Träger'!$A$2:$AA$7, 20, FALSE) * ROUND($D$14, D10) * ROUND($D$5^2, D10), D10) &amp; " kN")</f>
        <v>-0.1053 * 351 kN * 10² = -3696.03 kN</v>
      </c>
      <c r="I75" s="69"/>
      <c r="J75" s="69"/>
      <c r="K75" s="69"/>
      <c r="L75" s="69"/>
      <c r="M75" s="69"/>
      <c r="N75" s="69"/>
    </row>
    <row r="76" spans="3:14" x14ac:dyDescent="0.25">
      <c r="C76" s="49" t="s">
        <v>102</v>
      </c>
      <c r="D76" s="128"/>
      <c r="E76" s="37" t="s">
        <v>29</v>
      </c>
      <c r="F76" s="45"/>
      <c r="G76" s="69">
        <f>VLOOKUP($D$4, 'Durchlaufende Träger'!$A$2:$AA$7, 21, FALSE) * $D$14 * $D$5^2</f>
        <v>0</v>
      </c>
      <c r="H76" s="69" t="str">
        <f>IF(G76=0, "", VLOOKUP($D$4, 'Durchlaufende Träger'!$A$2:$AA$7, 21, FALSE) &amp; " * " &amp; ROUND($D$14, D10) &amp; " kN * " &amp; ROUND($D$5, D10) &amp; "² = " &amp; ROUND(VLOOKUP($D$4, 'Durchlaufende Träger'!$A$2:$AA$7, 21, FALSE) * ROUND($D$14, D10) * ROUND($D$5^2, D10), D10) &amp; " kN")</f>
        <v/>
      </c>
      <c r="I76" s="69"/>
      <c r="J76" s="69"/>
      <c r="K76" s="69"/>
      <c r="L76" s="69"/>
      <c r="M76" s="69"/>
      <c r="N76" s="69"/>
    </row>
    <row r="77" spans="3:14" ht="15.75" thickBot="1" x14ac:dyDescent="0.3">
      <c r="C77" s="50" t="s">
        <v>103</v>
      </c>
      <c r="D77" s="129"/>
      <c r="E77" s="40" t="s">
        <v>29</v>
      </c>
      <c r="F77" s="41"/>
      <c r="G77" s="69">
        <f>VLOOKUP($D$4, 'Durchlaufende Träger'!$A$2:$AA$7, 22, FALSE) * $D$14 * $D$5^2</f>
        <v>0</v>
      </c>
      <c r="H77" s="69" t="str">
        <f>IF(G77=0, "", VLOOKUP($D$4, 'Durchlaufende Träger'!$A$2:$AA$7, 22, FALSE) &amp; " * " &amp; ROUND($D$14, D10) &amp; " kN * " &amp; ROUND($D$5, D10) &amp; "² = " &amp; ROUND(VLOOKUP($D$4, 'Durchlaufende Träger'!$A$2:$AA$7, 22, FALSE) * ROUND($D$14, D10) * ROUND($D$5^2, D10), D10) &amp; " kN")</f>
        <v/>
      </c>
      <c r="I77" s="69"/>
      <c r="J77" s="69"/>
      <c r="K77" s="69"/>
      <c r="L77" s="69"/>
      <c r="M77" s="69"/>
      <c r="N77" s="69"/>
    </row>
    <row r="78" spans="3:14" ht="15.75" thickBot="1" x14ac:dyDescent="0.3">
      <c r="C78" s="55" t="s">
        <v>32</v>
      </c>
      <c r="D78" s="56" cm="1">
        <f t="array" ref="D78">_xlfn.AGGREGATE(14, 6, ABS(ROUND(D65:D77, D10)), 1)</f>
        <v>3696.03</v>
      </c>
      <c r="E78" s="30" t="s">
        <v>29</v>
      </c>
      <c r="F78" s="58"/>
      <c r="G78" s="69"/>
      <c r="H78" s="69"/>
      <c r="I78" s="69"/>
      <c r="J78" s="69"/>
      <c r="K78" s="69"/>
      <c r="L78" s="69"/>
      <c r="M78" s="69"/>
      <c r="N78" s="69"/>
    </row>
    <row r="79" spans="3:14" x14ac:dyDescent="0.25">
      <c r="C79" s="59"/>
      <c r="D79" s="74"/>
      <c r="E79" s="61"/>
      <c r="F79" s="62"/>
      <c r="G79" s="69"/>
      <c r="H79" s="69"/>
      <c r="I79" s="69"/>
      <c r="J79" s="69"/>
      <c r="K79" s="69"/>
      <c r="L79" s="69"/>
      <c r="M79" s="69"/>
    </row>
    <row r="80" spans="3:14" x14ac:dyDescent="0.25">
      <c r="C80" s="63"/>
      <c r="D80" s="75"/>
      <c r="F80" s="38"/>
      <c r="G80" s="69"/>
      <c r="H80" s="69"/>
      <c r="I80" s="69"/>
      <c r="J80" s="69"/>
      <c r="K80" s="69"/>
      <c r="L80" s="69"/>
      <c r="M80" s="69"/>
    </row>
    <row r="81" spans="3:13" x14ac:dyDescent="0.25">
      <c r="C81" s="63"/>
      <c r="D81" s="75"/>
      <c r="F81" s="38"/>
      <c r="G81" s="69"/>
      <c r="H81" s="69"/>
      <c r="I81" s="69"/>
      <c r="J81" s="69"/>
      <c r="K81" s="69"/>
      <c r="L81" s="69"/>
      <c r="M81" s="69"/>
    </row>
    <row r="82" spans="3:13" x14ac:dyDescent="0.25">
      <c r="C82" s="63"/>
      <c r="D82" s="75"/>
      <c r="F82" s="38"/>
      <c r="G82" s="69"/>
      <c r="H82" s="69"/>
      <c r="I82" s="69"/>
      <c r="J82" s="69"/>
      <c r="K82" s="69"/>
      <c r="L82" s="69"/>
      <c r="M82" s="69"/>
    </row>
    <row r="83" spans="3:13" x14ac:dyDescent="0.25">
      <c r="C83" s="63"/>
      <c r="D83" s="75"/>
      <c r="F83" s="38"/>
      <c r="G83" s="69"/>
      <c r="H83" s="69"/>
      <c r="I83" s="69"/>
      <c r="J83" s="69"/>
      <c r="K83" s="69"/>
      <c r="L83" s="69"/>
      <c r="M83" s="69"/>
    </row>
    <row r="84" spans="3:13" x14ac:dyDescent="0.25">
      <c r="C84" s="63"/>
      <c r="D84" s="75"/>
      <c r="F84" s="38"/>
      <c r="G84" s="69"/>
      <c r="H84" s="69"/>
      <c r="I84" s="69"/>
      <c r="J84" s="69"/>
      <c r="K84" s="69"/>
      <c r="L84" s="69"/>
      <c r="M84" s="69"/>
    </row>
    <row r="85" spans="3:13" x14ac:dyDescent="0.25">
      <c r="C85" s="63"/>
      <c r="D85" s="75"/>
      <c r="F85" s="38"/>
      <c r="G85" s="69"/>
      <c r="H85" s="69"/>
      <c r="I85" s="69"/>
      <c r="J85" s="69"/>
      <c r="K85" s="69"/>
      <c r="L85" s="69"/>
      <c r="M85" s="69"/>
    </row>
    <row r="86" spans="3:13" x14ac:dyDescent="0.25">
      <c r="C86" s="63"/>
      <c r="D86" s="75"/>
      <c r="F86" s="38"/>
      <c r="G86" s="69"/>
      <c r="H86" s="69"/>
      <c r="I86" s="69"/>
      <c r="J86" s="69"/>
      <c r="K86" s="69"/>
      <c r="L86" s="69"/>
      <c r="M86" s="69"/>
    </row>
    <row r="87" spans="3:13" x14ac:dyDescent="0.25">
      <c r="C87" s="63"/>
      <c r="D87" s="75"/>
      <c r="F87" s="38"/>
      <c r="G87" s="69"/>
      <c r="H87" s="69"/>
      <c r="I87" s="69"/>
      <c r="J87" s="69"/>
      <c r="K87" s="69"/>
      <c r="L87" s="69"/>
      <c r="M87" s="69"/>
    </row>
    <row r="88" spans="3:13" x14ac:dyDescent="0.25">
      <c r="C88" s="63"/>
      <c r="D88" s="75"/>
      <c r="F88" s="38"/>
      <c r="G88" s="69"/>
      <c r="H88" s="69"/>
      <c r="I88" s="69"/>
      <c r="J88" s="69"/>
      <c r="K88" s="69"/>
      <c r="L88" s="69"/>
      <c r="M88" s="69"/>
    </row>
    <row r="89" spans="3:13" x14ac:dyDescent="0.25">
      <c r="C89" s="63"/>
      <c r="D89" s="75"/>
      <c r="F89" s="38"/>
      <c r="G89" s="69"/>
      <c r="H89" s="69"/>
      <c r="I89" s="69"/>
      <c r="J89" s="69"/>
      <c r="K89" s="69"/>
      <c r="L89" s="69"/>
      <c r="M89" s="69"/>
    </row>
    <row r="90" spans="3:13" x14ac:dyDescent="0.25">
      <c r="C90" s="63"/>
      <c r="D90" s="75"/>
      <c r="F90" s="38"/>
      <c r="G90" s="69"/>
      <c r="H90" s="69"/>
      <c r="I90" s="69"/>
      <c r="J90" s="69"/>
      <c r="K90" s="69"/>
      <c r="L90" s="69"/>
      <c r="M90" s="69"/>
    </row>
    <row r="91" spans="3:13" x14ac:dyDescent="0.25">
      <c r="C91" s="63"/>
      <c r="D91" s="75"/>
      <c r="F91" s="38"/>
      <c r="G91" s="69"/>
      <c r="H91" s="69"/>
      <c r="I91" s="69"/>
      <c r="J91" s="69"/>
      <c r="K91" s="69"/>
      <c r="L91" s="69"/>
      <c r="M91" s="69"/>
    </row>
    <row r="92" spans="3:13" x14ac:dyDescent="0.25">
      <c r="C92" s="63"/>
      <c r="D92" s="75"/>
      <c r="F92" s="38"/>
      <c r="G92" s="69"/>
      <c r="H92" s="69"/>
      <c r="I92" s="69"/>
      <c r="J92" s="69"/>
      <c r="K92" s="69"/>
      <c r="L92" s="69"/>
      <c r="M92" s="69"/>
    </row>
    <row r="93" spans="3:13" x14ac:dyDescent="0.25">
      <c r="C93" s="63"/>
      <c r="D93" s="75"/>
      <c r="F93" s="38"/>
      <c r="G93" s="69"/>
      <c r="H93" s="69"/>
      <c r="I93" s="69"/>
      <c r="J93" s="69"/>
      <c r="K93" s="69"/>
      <c r="L93" s="69"/>
      <c r="M93" s="69"/>
    </row>
    <row r="94" spans="3:13" x14ac:dyDescent="0.25">
      <c r="C94" s="63"/>
      <c r="D94" s="75"/>
      <c r="F94" s="38"/>
      <c r="G94" s="69"/>
      <c r="H94" s="69"/>
      <c r="I94" s="69"/>
      <c r="J94" s="69"/>
      <c r="K94" s="69"/>
      <c r="L94" s="69"/>
      <c r="M94" s="69"/>
    </row>
    <row r="95" spans="3:13" x14ac:dyDescent="0.25">
      <c r="C95" s="63"/>
      <c r="D95" s="75"/>
      <c r="F95" s="38"/>
      <c r="G95" s="69"/>
      <c r="H95" s="69"/>
      <c r="I95" s="69"/>
      <c r="J95" s="69"/>
      <c r="K95" s="69"/>
      <c r="L95" s="69"/>
      <c r="M95" s="69"/>
    </row>
    <row r="96" spans="3:13" x14ac:dyDescent="0.25">
      <c r="C96" s="63"/>
      <c r="D96" s="75"/>
      <c r="F96" s="38"/>
      <c r="G96" s="69"/>
      <c r="H96" s="69"/>
      <c r="I96" s="69"/>
      <c r="J96" s="69"/>
      <c r="K96" s="69"/>
      <c r="L96" s="69"/>
      <c r="M96" s="69"/>
    </row>
    <row r="97" spans="2:13" ht="15.75" thickBot="1" x14ac:dyDescent="0.3">
      <c r="C97" s="66"/>
      <c r="D97" s="76"/>
      <c r="E97" s="30"/>
      <c r="F97" s="68"/>
      <c r="G97" s="69"/>
      <c r="H97" s="69"/>
      <c r="I97" s="69"/>
      <c r="J97" s="69"/>
      <c r="K97" s="69"/>
      <c r="L97" s="69"/>
      <c r="M97" s="69"/>
    </row>
    <row r="98" spans="2:13" ht="15.75" thickBot="1" x14ac:dyDescent="0.3">
      <c r="G98" s="69"/>
      <c r="H98" s="69"/>
      <c r="I98" s="69"/>
      <c r="J98" s="69"/>
      <c r="K98" s="69"/>
      <c r="L98" s="69"/>
      <c r="M98" s="69"/>
    </row>
    <row r="99" spans="2:13" ht="15.75" thickBot="1" x14ac:dyDescent="0.3">
      <c r="B99" s="125" t="s">
        <v>33</v>
      </c>
      <c r="C99" s="126"/>
      <c r="D99" s="32" t="s">
        <v>20</v>
      </c>
      <c r="E99" s="32" t="s">
        <v>4</v>
      </c>
      <c r="F99" s="33" t="s">
        <v>21</v>
      </c>
      <c r="G99" s="69"/>
      <c r="H99" s="69"/>
      <c r="I99" s="69"/>
      <c r="J99" s="69"/>
      <c r="K99" s="69"/>
      <c r="L99" s="69"/>
      <c r="M99" s="69"/>
    </row>
    <row r="100" spans="2:13" x14ac:dyDescent="0.25">
      <c r="C100" s="24" t="s">
        <v>106</v>
      </c>
      <c r="D100" s="135">
        <f>(VLOOKUP(D4, 'Durchlaufende Träger'!$A$2:$W$8, 23, FALSE) * D14 * D5^4) / (D9) * 1000</f>
        <v>0.27609331409453647</v>
      </c>
      <c r="E100" s="35" t="s">
        <v>34</v>
      </c>
      <c r="F100" s="45" t="str">
        <f>IF(D100=0, "", " (" &amp; VLOOKUP(D4, 'Durchlaufende Träger'!$A$2:$W$8, 23, FALSE) &amp; " * " &amp; ROUND(D14, D10) &amp; " kN * " &amp; ROUND(D5, D10) &amp; "⁴) / " &amp; ROUND(D9, D10) &amp; " * 1000 = " &amp; ROUND((VLOOKUP(D4, 'Durchlaufende Träger'!$A$2:$W$8, 23, FALSE) * D14 * D5^4) / D9 * 1000, D10) &amp; " mm")</f>
        <v xml:space="preserve"> (0.0065 * 351 kN * 10⁴) / 82635105 * 1000 = 0.276 mm</v>
      </c>
      <c r="G100" s="69"/>
      <c r="H100" s="69"/>
      <c r="I100" s="69"/>
      <c r="J100" s="69"/>
      <c r="K100" s="69"/>
      <c r="L100" s="69"/>
      <c r="M100" s="69"/>
    </row>
    <row r="101" spans="2:13" x14ac:dyDescent="0.25">
      <c r="C101" s="24" t="s">
        <v>107</v>
      </c>
      <c r="D101" s="131">
        <f>(VLOOKUP(D4, 'Durchlaufende Träger'!$A$2:$X$8, 24, FALSE) * D14 * D5^4) / (D9) * 1000</f>
        <v>6.3713841714123795E-2</v>
      </c>
      <c r="E101" s="37" t="s">
        <v>34</v>
      </c>
      <c r="F101" s="45" t="str">
        <f>IF(D101=0, "", " (" &amp; VLOOKUP(D4, 'Durchlaufende Träger'!$A$2:$X$8, 24, FALSE) &amp; " * " &amp; ROUND(D14, D10) &amp; " kN * " &amp; ROUND(D5, D10) &amp; "⁴) / " &amp; ROUND(D9, D10) &amp; " * 1000 = " &amp; ROUND((VLOOKUP(D4, 'Durchlaufende Träger'!$A$2:$X$8, 24, FALSE) * D14 * D5^4) / D9 * 1000, D10) &amp; " mm")</f>
        <v xml:space="preserve"> (0.0015 * 351 kN * 10⁴) / 82635105 * 1000 = 0.064 mm</v>
      </c>
      <c r="G101" s="69"/>
      <c r="H101" s="69"/>
      <c r="I101" s="69"/>
      <c r="J101" s="69"/>
      <c r="K101" s="69"/>
      <c r="L101" s="69"/>
      <c r="M101" s="69"/>
    </row>
    <row r="102" spans="2:13" x14ac:dyDescent="0.25">
      <c r="C102" s="24" t="s">
        <v>108</v>
      </c>
      <c r="D102" s="130">
        <f>(VLOOKUP(D4, 'Durchlaufende Träger'!$A$2:$Y$8, 25, FALSE) * D14 * D5^4) / (D9) * 1000</f>
        <v>0.13592286232346409</v>
      </c>
      <c r="E102" s="37" t="s">
        <v>34</v>
      </c>
      <c r="F102" s="45" t="str">
        <f>IF(D102=0, "", " (" &amp; VLOOKUP(D4, 'Durchlaufende Träger'!$A$2:$Y$8, 25, FALSE) &amp; " * " &amp; ROUND(D14, D10) &amp; " kN * " &amp; ROUND(D5, D10) &amp; "⁴) / " &amp; ROUND(D9, D10) &amp; " * 1000 = " &amp; ROUND((VLOOKUP(D4, 'Durchlaufende Träger'!$A$2:$Y$8, 25, FALSE) * D14 * D5^4) / D9 * 1000, D10) &amp; " mm")</f>
        <v xml:space="preserve"> (0.0032 * 351 kN * 10⁴) / 82635105 * 1000 = 0.136 mm</v>
      </c>
      <c r="G102" s="69"/>
      <c r="H102" s="69"/>
      <c r="I102" s="69"/>
      <c r="J102" s="69"/>
      <c r="K102" s="69"/>
      <c r="L102" s="69"/>
      <c r="M102" s="69"/>
    </row>
    <row r="103" spans="2:13" x14ac:dyDescent="0.25">
      <c r="C103" s="24" t="s">
        <v>109</v>
      </c>
      <c r="D103" s="131">
        <f>(VLOOKUP(D4, 'Durchlaufende Träger'!$A$2:$Z$8, 26, FALSE) * D14 * D5^4) / (D9) * 1000</f>
        <v>6.3713841714123795E-2</v>
      </c>
      <c r="E103" s="37" t="s">
        <v>34</v>
      </c>
      <c r="F103" s="45" t="str">
        <f>IF(D103=0, "", " (" &amp; VLOOKUP(D4, 'Durchlaufende Träger'!$A$2:$Z$8, 26, FALSE) &amp; " * " &amp; ROUND(D14, D10) &amp; " kN * " &amp; ROUND(D5, D10) &amp; "⁴) / " &amp; ROUND(D9, D10) &amp; " * 1000 = " &amp; ROUND((VLOOKUP(D4, 'Durchlaufende Träger'!$A$2:$Z$8, 26, FALSE) * D14 * D5^4) / D9 * 1000, D10) &amp; " mm")</f>
        <v xml:space="preserve"> (0.0015 * 351 kN * 10⁴) / 82635105 * 1000 = 0.064 mm</v>
      </c>
      <c r="G103" s="69"/>
      <c r="H103" s="69"/>
      <c r="I103" s="69"/>
      <c r="J103" s="69"/>
      <c r="K103" s="69"/>
      <c r="L103" s="69"/>
      <c r="M103" s="69"/>
    </row>
    <row r="104" spans="2:13" x14ac:dyDescent="0.25">
      <c r="C104" s="24" t="s">
        <v>110</v>
      </c>
      <c r="D104" s="134">
        <f>(VLOOKUP(D4, 'Durchlaufende Träger'!$A$2:$AA$8, 27, FALSE) * D14 * D5^4) / (D9) * 1000</f>
        <v>0.27609331409453647</v>
      </c>
      <c r="E104" s="37" t="s">
        <v>34</v>
      </c>
      <c r="F104" s="45" t="str">
        <f>IF(D104=0, "", " (" &amp; VLOOKUP(D4, 'Durchlaufende Träger'!$A$2:$AA$8, 27, FALSE) &amp; " * " &amp; ROUND(D14, D10) &amp; " kN * " &amp; ROUND(D5, D10) &amp; "⁴) / " &amp; ROUND(D9, D10) &amp; " * 1000 = " &amp; ROUND((VLOOKUP(D4, 'Durchlaufende Träger'!$A$2:$AA$8, 27, FALSE) * D14 * D5^4) / D9 * 1000, D10) &amp; " mm")</f>
        <v xml:space="preserve"> (0.0065 * 351 kN * 10⁴) / 82635105 * 1000 = 0.276 mm</v>
      </c>
      <c r="G104" s="69"/>
      <c r="H104" s="69"/>
      <c r="I104" s="69"/>
      <c r="J104" s="69"/>
      <c r="K104" s="69"/>
      <c r="L104" s="69"/>
      <c r="M104" s="69"/>
    </row>
    <row r="105" spans="2:13" x14ac:dyDescent="0.25">
      <c r="C105" s="24" t="s">
        <v>111</v>
      </c>
      <c r="D105" s="130">
        <f>(VLOOKUP(D4, 'Durchlaufende Träger'!$A$2:$AB$8, 28, FALSE) * D14 * D5^4) / (D9) * 1000</f>
        <v>0</v>
      </c>
      <c r="E105" s="37" t="s">
        <v>34</v>
      </c>
      <c r="F105" s="45" t="str">
        <f>IF(D105=0, "", " (" &amp; VLOOKUP(D4, 'Durchlaufende Träger'!$A$2:$AB$8, 28, FALSE) &amp; " * " &amp; ROUND(D14, D10) &amp; " kN * " &amp; ROUND(D5, D10) &amp; "⁴) / " &amp; ROUND(D9, D10) &amp; " * 1000 = " &amp; ROUND((VLOOKUP(D4, 'Durchlaufende Träger'!$A$2:$AB$8, 28, FALSE) * D14 * D5^4) / D9 * 1000, D10) &amp; " mm")</f>
        <v/>
      </c>
      <c r="G105" s="69"/>
      <c r="H105" s="69"/>
      <c r="I105" s="69"/>
      <c r="J105" s="69"/>
      <c r="K105" s="69"/>
      <c r="L105" s="69"/>
      <c r="M105" s="69"/>
    </row>
    <row r="106" spans="2:13" ht="15.75" thickBot="1" x14ac:dyDescent="0.3">
      <c r="C106" s="24" t="s">
        <v>112</v>
      </c>
      <c r="D106" s="130">
        <f>(VLOOKUP(D4, 'Durchlaufende Träger'!$A$2:$AC$8, 29, FALSE) * D14 * D5^4) / (D9) * 1000</f>
        <v>0</v>
      </c>
      <c r="E106" s="37" t="s">
        <v>34</v>
      </c>
      <c r="F106" s="71" t="str">
        <f>IF(D106=0, "", " (" &amp; VLOOKUP(D4, 'Durchlaufende Träger'!$A$2:$AC$8, 29, FALSE) &amp; " * " &amp; ROUND(D14, D10) &amp; " kN * " &amp; ROUND(D5, D10) &amp; "⁴) / " &amp; ROUND(D9, D10) &amp; " * 1000 = " &amp; ROUND((VLOOKUP(D4, 'Durchlaufende Träger'!$A$2:$AC$8, 29, FALSE) * D14 * D5^4) / D9 * 1000, D10) &amp; " mm")</f>
        <v/>
      </c>
      <c r="G106" s="69"/>
      <c r="H106" s="69"/>
      <c r="I106" s="69"/>
      <c r="J106" s="69"/>
      <c r="K106" s="69"/>
      <c r="L106" s="69"/>
      <c r="M106" s="69"/>
    </row>
    <row r="107" spans="2:13" ht="15.75" thickBot="1" x14ac:dyDescent="0.3">
      <c r="C107" s="55" t="s">
        <v>86</v>
      </c>
      <c r="D107" s="56" cm="1">
        <f t="array" ref="D107">_xlfn.AGGREGATE(14,6,ABS(D100:D103),1)</f>
        <v>0.27609331409453647</v>
      </c>
      <c r="E107" s="77" t="s">
        <v>34</v>
      </c>
      <c r="F107" s="58"/>
    </row>
    <row r="108" spans="2:13" x14ac:dyDescent="0.25">
      <c r="C108" s="22"/>
      <c r="D108" s="61"/>
      <c r="E108" s="61"/>
      <c r="F108" s="62"/>
    </row>
    <row r="109" spans="2:13" x14ac:dyDescent="0.25">
      <c r="C109" s="24"/>
      <c r="F109" s="38"/>
    </row>
    <row r="110" spans="2:13" x14ac:dyDescent="0.25">
      <c r="C110" s="24"/>
      <c r="F110" s="38"/>
    </row>
    <row r="111" spans="2:13" x14ac:dyDescent="0.25">
      <c r="C111" s="24"/>
      <c r="F111" s="38"/>
    </row>
    <row r="112" spans="2:13" x14ac:dyDescent="0.25">
      <c r="C112" s="24"/>
      <c r="F112" s="38"/>
    </row>
    <row r="113" spans="3:6" x14ac:dyDescent="0.25">
      <c r="C113" s="24"/>
      <c r="F113" s="38"/>
    </row>
    <row r="114" spans="3:6" x14ac:dyDescent="0.25">
      <c r="C114" s="24"/>
      <c r="F114" s="38"/>
    </row>
    <row r="115" spans="3:6" x14ac:dyDescent="0.25">
      <c r="C115" s="24"/>
      <c r="F115" s="38"/>
    </row>
    <row r="116" spans="3:6" x14ac:dyDescent="0.25">
      <c r="C116" s="24"/>
      <c r="F116" s="38"/>
    </row>
    <row r="117" spans="3:6" x14ac:dyDescent="0.25">
      <c r="C117" s="24"/>
      <c r="F117" s="38"/>
    </row>
    <row r="118" spans="3:6" x14ac:dyDescent="0.25">
      <c r="C118" s="24"/>
      <c r="F118" s="38"/>
    </row>
    <row r="119" spans="3:6" x14ac:dyDescent="0.25">
      <c r="C119" s="24"/>
      <c r="F119" s="38"/>
    </row>
    <row r="120" spans="3:6" x14ac:dyDescent="0.25">
      <c r="C120" s="24"/>
      <c r="F120" s="38"/>
    </row>
    <row r="121" spans="3:6" x14ac:dyDescent="0.25">
      <c r="C121" s="24"/>
      <c r="F121" s="38"/>
    </row>
    <row r="122" spans="3:6" x14ac:dyDescent="0.25">
      <c r="C122" s="24"/>
      <c r="F122" s="38"/>
    </row>
    <row r="123" spans="3:6" x14ac:dyDescent="0.25">
      <c r="C123" s="24"/>
      <c r="F123" s="38"/>
    </row>
    <row r="124" spans="3:6" x14ac:dyDescent="0.25">
      <c r="C124" s="24"/>
      <c r="F124" s="38"/>
    </row>
    <row r="125" spans="3:6" x14ac:dyDescent="0.25">
      <c r="C125" s="24"/>
      <c r="F125" s="38"/>
    </row>
    <row r="126" spans="3:6" ht="15.75" thickBot="1" x14ac:dyDescent="0.3">
      <c r="C126" s="28"/>
      <c r="D126" s="30"/>
      <c r="E126" s="30"/>
      <c r="F126" s="68"/>
    </row>
  </sheetData>
  <sheetProtection algorithmName="SHA-512" hashValue="P1vSljhN9kqgTBx9YuSLJqZL1sr/wI0QLYpsFylaXWf3gbdKlhaNaj45fS5QSh0nc/IH8xlSx/Ecq7CjMFG1KQ==" saltValue="LEH6yo7FC+lsp8qfqgS7hA==" spinCount="100000" sheet="1" objects="1" scenarios="1" selectLockedCells="1"/>
  <mergeCells count="7">
    <mergeCell ref="A1:C1"/>
    <mergeCell ref="B64:C64"/>
    <mergeCell ref="B99:C99"/>
    <mergeCell ref="B3:C3"/>
    <mergeCell ref="B12:C12"/>
    <mergeCell ref="B17:C17"/>
    <mergeCell ref="B27:C27"/>
  </mergeCells>
  <phoneticPr fontId="7" type="noConversion"/>
  <hyperlinks>
    <hyperlink ref="F1" r:id="rId1" xr:uid="{39B95420-22E2-43B5-A64A-93ACEB116B9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83F30D-F65D-B349-B916-91BCFB80BF75}">
          <x14:formula1>
            <xm:f>'Durchlaufende Träger'!$A$2:$A$7</xm:f>
          </x14:formula1>
          <xm:sqref>D4</xm:sqref>
        </x14:dataValidation>
        <x14:dataValidation type="list" allowBlank="1" showInputMessage="1" showErrorMessage="1" xr:uid="{646A7771-39EB-4948-90A1-D47FA328FA37}">
          <x14:formula1>
            <xm:f>Doka20!$A$2:$A$16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5CAF-E263-1F45-A037-C8BCEEDA51AA}">
  <sheetPr codeName="Tabelle2"/>
  <dimension ref="A1:J66"/>
  <sheetViews>
    <sheetView topLeftCell="A40" zoomScale="150" workbookViewId="0">
      <selection activeCell="H68" sqref="H68"/>
    </sheetView>
  </sheetViews>
  <sheetFormatPr baseColWidth="10" defaultColWidth="11.42578125" defaultRowHeight="15" x14ac:dyDescent="0.25"/>
  <sheetData>
    <row r="1" spans="1:4" ht="15.75" thickBot="1" x14ac:dyDescent="0.3">
      <c r="A1" s="93" t="s">
        <v>61</v>
      </c>
      <c r="B1" s="94"/>
      <c r="C1" s="95"/>
    </row>
    <row r="2" spans="1:4" x14ac:dyDescent="0.25">
      <c r="A2" s="7"/>
      <c r="B2" s="88">
        <v>0</v>
      </c>
      <c r="C2" s="4">
        <v>1</v>
      </c>
      <c r="D2" cm="1">
        <f t="array" ref="D2:D13">_xlfn._xlws.FILTER(C2:C17, B2:B17&lt;&gt;"")</f>
        <v>1</v>
      </c>
    </row>
    <row r="3" spans="1:4" x14ac:dyDescent="0.25">
      <c r="A3" s="8"/>
      <c r="B3" s="89">
        <f>IF(ISNUMBER(Berechnungen!D29), Berechnungen!D29, "")</f>
        <v>1386.45</v>
      </c>
      <c r="C3" s="5">
        <v>1</v>
      </c>
      <c r="D3">
        <v>1</v>
      </c>
    </row>
    <row r="4" spans="1:4" x14ac:dyDescent="0.25">
      <c r="A4" s="8"/>
      <c r="B4" s="89">
        <f>IF(ISNUMBER(Berechnungen!D30), Berechnungen!D30, "")</f>
        <v>-2123.5500000000002</v>
      </c>
      <c r="C4" s="5">
        <v>2</v>
      </c>
      <c r="D4">
        <v>2</v>
      </c>
    </row>
    <row r="5" spans="1:4" x14ac:dyDescent="0.25">
      <c r="A5" s="8"/>
      <c r="B5" s="89">
        <f>IF(ISNUMBER(Berechnungen!D31), Berechnungen!D31, "")</f>
        <v>1849.7699999999995</v>
      </c>
      <c r="C5" s="5">
        <v>2</v>
      </c>
      <c r="D5">
        <v>2</v>
      </c>
    </row>
    <row r="6" spans="1:4" x14ac:dyDescent="0.25">
      <c r="A6" s="8"/>
      <c r="B6" s="89">
        <f>IF(ISNUMBER(Berechnungen!D32), Berechnungen!D32, "")</f>
        <v>-1660.2300000000005</v>
      </c>
      <c r="C6" s="5">
        <v>3</v>
      </c>
      <c r="D6">
        <v>3</v>
      </c>
    </row>
    <row r="7" spans="1:4" x14ac:dyDescent="0.25">
      <c r="A7" s="8"/>
      <c r="B7" s="89">
        <f>IF(ISNUMBER(Berechnungen!D33), Berechnungen!D33, "")</f>
        <v>1754.9999999999995</v>
      </c>
      <c r="C7" s="5">
        <v>3</v>
      </c>
      <c r="D7">
        <v>3</v>
      </c>
    </row>
    <row r="8" spans="1:4" x14ac:dyDescent="0.25">
      <c r="A8" s="8"/>
      <c r="B8" s="89">
        <f>IF(ISNUMBER(Berechnungen!D34), Berechnungen!D34, "")</f>
        <v>-1754.9999999999995</v>
      </c>
      <c r="C8" s="5">
        <v>4</v>
      </c>
      <c r="D8">
        <v>4</v>
      </c>
    </row>
    <row r="9" spans="1:4" x14ac:dyDescent="0.25">
      <c r="A9" s="8"/>
      <c r="B9" s="89">
        <f>IF(ISNUMBER(Berechnungen!D35), Berechnungen!D35, "")</f>
        <v>1660.2300000000005</v>
      </c>
      <c r="C9" s="5">
        <v>4</v>
      </c>
      <c r="D9">
        <v>4</v>
      </c>
    </row>
    <row r="10" spans="1:4" x14ac:dyDescent="0.25">
      <c r="A10" s="8"/>
      <c r="B10" s="89">
        <f>IF(ISNUMBER(Berechnungen!D36), Berechnungen!D36, "")</f>
        <v>-1849.7699999999995</v>
      </c>
      <c r="C10" s="5">
        <v>5</v>
      </c>
      <c r="D10">
        <v>5</v>
      </c>
    </row>
    <row r="11" spans="1:4" x14ac:dyDescent="0.25">
      <c r="A11" s="8"/>
      <c r="B11" s="89">
        <f>IF(ISNUMBER(Berechnungen!D37), Berechnungen!D37, "")</f>
        <v>2123.5500000000002</v>
      </c>
      <c r="C11" s="5">
        <v>5</v>
      </c>
      <c r="D11">
        <v>5</v>
      </c>
    </row>
    <row r="12" spans="1:4" x14ac:dyDescent="0.25">
      <c r="A12" s="8"/>
      <c r="B12" s="89">
        <f>IF(ISNUMBER(Berechnungen!D38), Berechnungen!D38, "")</f>
        <v>-1386.45</v>
      </c>
      <c r="C12" s="5">
        <v>6</v>
      </c>
      <c r="D12">
        <v>6</v>
      </c>
    </row>
    <row r="13" spans="1:4" x14ac:dyDescent="0.25">
      <c r="A13" s="8"/>
      <c r="B13" s="89">
        <f>IF(ISNUMBER(Berechnungen!D39), Berechnungen!D39, "")</f>
        <v>0</v>
      </c>
      <c r="C13" s="5">
        <v>6</v>
      </c>
      <c r="D13">
        <v>6</v>
      </c>
    </row>
    <row r="14" spans="1:4" x14ac:dyDescent="0.25">
      <c r="A14" s="8"/>
      <c r="B14" s="89" t="str">
        <f>IF(ISNUMBER(Berechnungen!D40), Berechnungen!D40, "")</f>
        <v/>
      </c>
      <c r="C14" s="5">
        <v>7</v>
      </c>
    </row>
    <row r="15" spans="1:4" x14ac:dyDescent="0.25">
      <c r="A15" s="8"/>
      <c r="B15" s="89" t="str">
        <f>IF(ISNUMBER(Berechnungen!D41), Berechnungen!D41, "")</f>
        <v/>
      </c>
      <c r="C15" s="5">
        <v>7</v>
      </c>
    </row>
    <row r="16" spans="1:4" x14ac:dyDescent="0.25">
      <c r="A16" s="8"/>
      <c r="B16" s="89" t="str">
        <f>IF(ISNUMBER(Berechnungen!D42), Berechnungen!D42, "")</f>
        <v/>
      </c>
      <c r="C16" s="5">
        <v>8</v>
      </c>
    </row>
    <row r="17" spans="1:10" ht="15.75" thickBot="1" x14ac:dyDescent="0.3">
      <c r="A17" s="9"/>
      <c r="B17" s="89" t="str">
        <f>IF(ISNUMBER(Berechnungen!D43), Berechnungen!D43, "")</f>
        <v/>
      </c>
      <c r="C17" s="6">
        <v>8</v>
      </c>
    </row>
    <row r="18" spans="1:10" x14ac:dyDescent="0.25">
      <c r="A18" s="17"/>
      <c r="B18" s="10"/>
      <c r="C18" s="16"/>
      <c r="D18">
        <f>MAX(D2:D17)</f>
        <v>6</v>
      </c>
    </row>
    <row r="19" spans="1:10" x14ac:dyDescent="0.25">
      <c r="A19" s="17"/>
      <c r="B19" s="10"/>
      <c r="C19" s="16"/>
      <c r="D19">
        <v>1</v>
      </c>
    </row>
    <row r="20" spans="1:10" ht="15.75" thickBot="1" x14ac:dyDescent="0.3">
      <c r="A20" s="17"/>
      <c r="B20" s="10"/>
      <c r="C20" s="16"/>
      <c r="D20">
        <f>SUM(D18:D19)</f>
        <v>7</v>
      </c>
    </row>
    <row r="21" spans="1:10" ht="15.75" thickBot="1" x14ac:dyDescent="0.3">
      <c r="B21" s="93" t="s">
        <v>62</v>
      </c>
      <c r="C21" s="94"/>
      <c r="D21" s="94"/>
      <c r="E21" s="94"/>
      <c r="F21" s="95"/>
    </row>
    <row r="22" spans="1:10" ht="15.75" thickBot="1" x14ac:dyDescent="0.3">
      <c r="B22" s="82">
        <v>0</v>
      </c>
      <c r="C22" s="16">
        <v>1</v>
      </c>
      <c r="D22" s="11" t="s">
        <v>37</v>
      </c>
      <c r="G22" s="93" t="s">
        <v>113</v>
      </c>
      <c r="H22" s="94"/>
      <c r="I22" s="94"/>
      <c r="J22" s="95"/>
    </row>
    <row r="23" spans="1:10" x14ac:dyDescent="0.25">
      <c r="B23" s="82">
        <f>IFERROR(IF(ISNUMBER(Berechnungen!D65), Berechnungen!D65, IF(AND(ISNUMBER(B22), ABS(B22)&gt;0), 0, "")), "")</f>
        <v>2734.29</v>
      </c>
      <c r="C23" s="16">
        <v>1.5</v>
      </c>
      <c r="D23" s="11" t="s">
        <v>66</v>
      </c>
      <c r="E23" s="88" cm="1">
        <f t="array" ref="E23:E33">_xlfn._xlws.FILTER(B22:B37, B22:B37&lt;&gt;"")</f>
        <v>0</v>
      </c>
      <c r="F23" s="4">
        <v>1</v>
      </c>
      <c r="G23" s="78" cm="1">
        <f t="array" aca="1" ref="G23" ca="1">IF(ISNUMBER(INDIRECT(ADDRESS(ROW(), COLUMN()-1))), INDIRECT(ADDRESS(ROW(), COLUMN()-1)), "")</f>
        <v>1</v>
      </c>
      <c r="H23" s="78">
        <f ca="1">G23</f>
        <v>1</v>
      </c>
      <c r="I23" s="81" cm="1">
        <f t="array" aca="1" ref="I23" ca="1">IF(ISNUMBER(INDIRECT(ADDRESS(ROW(), COLUMN()-1))), 0, "")</f>
        <v>0</v>
      </c>
      <c r="J23" s="12" cm="1">
        <f t="array" aca="1" ref="J23" ca="1">IF(ISNUMBER(INDIRECT(ADDRESS(ROW(), COLUMN()-1))), Berechnungen!D78, "")</f>
        <v>3696.03</v>
      </c>
    </row>
    <row r="24" spans="1:10" x14ac:dyDescent="0.25">
      <c r="B24" s="82">
        <f>IFERROR(IF(ISNUMBER(Berechnungen!D72), Berechnungen!D72, IF(AND(ISNUMBER(B23), ABS(B23)&gt;0), 0, "")), "")</f>
        <v>-3696.03</v>
      </c>
      <c r="C24" s="16">
        <v>2</v>
      </c>
      <c r="D24" s="11" t="s">
        <v>38</v>
      </c>
      <c r="E24" s="89">
        <v>2734.29</v>
      </c>
      <c r="F24" s="5" cm="1">
        <f t="array" ref="F24:F33">_xlfn._xlws.FILTER(C23:C37, B23:B37&lt;&gt;"")</f>
        <v>1.5</v>
      </c>
      <c r="G24" s="79"/>
      <c r="H24" s="79"/>
      <c r="I24" s="16"/>
      <c r="J24" s="11"/>
    </row>
    <row r="25" spans="1:10" x14ac:dyDescent="0.25">
      <c r="B25" s="82">
        <f>IFERROR(IF(ISNUMBER(Berechnungen!D66), Berechnungen!D66, IF(AND(ISNUMBER(B24), ABS(B24)&gt;0), 0, "")), "")</f>
        <v>1165.32</v>
      </c>
      <c r="C25" s="16">
        <v>2.5</v>
      </c>
      <c r="D25" s="11" t="s">
        <v>67</v>
      </c>
      <c r="E25" s="89">
        <v>-3696.03</v>
      </c>
      <c r="F25" s="5">
        <v>2</v>
      </c>
      <c r="G25" s="79" cm="1">
        <f t="array" aca="1" ref="G25" ca="1">IF(ISNUMBER(INDIRECT(ADDRESS(ROW(), COLUMN()-1))), INDIRECT(ADDRESS(ROW(), COLUMN()-1)), "")</f>
        <v>2</v>
      </c>
      <c r="H25" s="79">
        <f ca="1">G25</f>
        <v>2</v>
      </c>
      <c r="I25" s="16" cm="1">
        <f t="array" aca="1" ref="I25" ca="1">IF(ISNUMBER(INDIRECT(ADDRESS(ROW(), COLUMN()-1))), 0, "")</f>
        <v>0</v>
      </c>
      <c r="J25" s="11" cm="1">
        <f t="array" aca="1" ref="J25" ca="1">IF(ISNUMBER(INDIRECT(ADDRESS(ROW(), COLUMN()-1))), Berechnungen!D78, "")</f>
        <v>3696.03</v>
      </c>
    </row>
    <row r="26" spans="1:10" x14ac:dyDescent="0.25">
      <c r="B26" s="82">
        <f>IFERROR(IF(ISNUMBER(Berechnungen!D73), Berechnungen!D73, IF(AND(ISNUMBER(B25), ABS(B25)&gt;0), 0, "")), "")</f>
        <v>-2769.39</v>
      </c>
      <c r="C26" s="16">
        <v>3</v>
      </c>
      <c r="D26" s="11" t="s">
        <v>39</v>
      </c>
      <c r="E26" s="89">
        <v>1165.32</v>
      </c>
      <c r="F26" s="5">
        <v>2.5</v>
      </c>
      <c r="G26" s="79"/>
      <c r="H26" s="79"/>
      <c r="I26" s="16"/>
      <c r="J26" s="11"/>
    </row>
    <row r="27" spans="1:10" x14ac:dyDescent="0.25">
      <c r="B27" s="82">
        <f>IFERROR(IF(ISNUMBER(Berechnungen!D67), Berechnungen!D67, IF(AND(ISNUMBER(B26), ABS(B26)&gt;0), 0, "")), "")</f>
        <v>1618.1100000000001</v>
      </c>
      <c r="C27" s="16">
        <v>3.5</v>
      </c>
      <c r="D27" s="11" t="s">
        <v>68</v>
      </c>
      <c r="E27" s="89">
        <v>-2769.39</v>
      </c>
      <c r="F27" s="5">
        <v>3</v>
      </c>
      <c r="G27" s="79" cm="1">
        <f t="array" aca="1" ref="G27" ca="1">IF(ISNUMBER(INDIRECT(ADDRESS(ROW(), COLUMN()-1))), INDIRECT(ADDRESS(ROW(), COLUMN()-1)), "")</f>
        <v>3</v>
      </c>
      <c r="H27" s="79">
        <f ca="1">G27</f>
        <v>3</v>
      </c>
      <c r="I27" s="16" cm="1">
        <f t="array" aca="1" ref="I27" ca="1">IF(ISNUMBER(INDIRECT(ADDRESS(ROW(), COLUMN()-1))), 0, "")</f>
        <v>0</v>
      </c>
      <c r="J27" s="11" cm="1">
        <f t="array" aca="1" ref="J27" ca="1">IF(ISNUMBER(INDIRECT(ADDRESS(ROW(), COLUMN()-1))), Berechnungen!D78, "")</f>
        <v>3696.03</v>
      </c>
    </row>
    <row r="28" spans="1:10" x14ac:dyDescent="0.25">
      <c r="B28" s="82">
        <f>IFERROR(IF(ISNUMBER(Berechnungen!D74), Berechnungen!D74, IF(AND(ISNUMBER(B27), ABS(B27)&gt;0), 0, "")), "")</f>
        <v>-2769.39</v>
      </c>
      <c r="C28" s="16">
        <v>4</v>
      </c>
      <c r="D28" s="11" t="s">
        <v>40</v>
      </c>
      <c r="E28" s="89">
        <v>1618.1100000000001</v>
      </c>
      <c r="F28" s="5">
        <v>3.5</v>
      </c>
      <c r="G28" s="79"/>
      <c r="H28" s="79"/>
      <c r="I28" s="16"/>
      <c r="J28" s="11"/>
    </row>
    <row r="29" spans="1:10" x14ac:dyDescent="0.25">
      <c r="B29" s="82">
        <f>IFERROR(IF(ISNUMBER(Berechnungen!D68), Berechnungen!D68, IF(AND(ISNUMBER(B28), ABS(B28)&gt;0), 0, "")), "")</f>
        <v>1165.32</v>
      </c>
      <c r="C29" s="16">
        <v>4.5</v>
      </c>
      <c r="D29" s="11" t="s">
        <v>69</v>
      </c>
      <c r="E29" s="89">
        <v>-2769.39</v>
      </c>
      <c r="F29" s="5">
        <v>4</v>
      </c>
      <c r="G29" s="79" cm="1">
        <f t="array" aca="1" ref="G29" ca="1">IF(ISNUMBER(INDIRECT(ADDRESS(ROW(), COLUMN()-1))), INDIRECT(ADDRESS(ROW(), COLUMN()-1)), "")</f>
        <v>4</v>
      </c>
      <c r="H29" s="79">
        <f ca="1">G29</f>
        <v>4</v>
      </c>
      <c r="I29" s="16" cm="1">
        <f t="array" aca="1" ref="I29" ca="1">IF(ISNUMBER(INDIRECT(ADDRESS(ROW(), COLUMN()-1))), 0, "")</f>
        <v>0</v>
      </c>
      <c r="J29" s="11" cm="1">
        <f t="array" aca="1" ref="J29" ca="1">IF(ISNUMBER(INDIRECT(ADDRESS(ROW(), COLUMN()-1))), Berechnungen!D78, "")</f>
        <v>3696.03</v>
      </c>
    </row>
    <row r="30" spans="1:10" x14ac:dyDescent="0.25">
      <c r="B30" s="14">
        <f>IFERROR(IF(ISNUMBER(Berechnungen!D75), Berechnungen!D75, IF(AND(ISNUMBER(B29), ABS(B29)&gt;0), 0, "")), "")</f>
        <v>-3696.03</v>
      </c>
      <c r="C30" s="16">
        <v>5</v>
      </c>
      <c r="D30" s="11" t="s">
        <v>41</v>
      </c>
      <c r="E30" s="89">
        <v>1165.32</v>
      </c>
      <c r="F30" s="5">
        <v>4.5</v>
      </c>
      <c r="G30" s="79"/>
      <c r="H30" s="79"/>
      <c r="I30" s="16"/>
      <c r="J30" s="11"/>
    </row>
    <row r="31" spans="1:10" x14ac:dyDescent="0.25">
      <c r="B31" s="82">
        <f>IFERROR(IF(ISNUMBER(Berechnungen!D69), Berechnungen!D69, IF(AND(ISNUMBER(B30), ABS(B30)&gt;0), 0, "")), "")</f>
        <v>2734.29</v>
      </c>
      <c r="C31" s="16">
        <v>5.5</v>
      </c>
      <c r="D31" s="11" t="s">
        <v>70</v>
      </c>
      <c r="E31" s="89">
        <v>-3696.03</v>
      </c>
      <c r="F31" s="5">
        <v>5</v>
      </c>
      <c r="G31" s="79" cm="1">
        <f t="array" aca="1" ref="G31" ca="1">IF(ISNUMBER(INDIRECT(ADDRESS(ROW(), COLUMN()-1))), INDIRECT(ADDRESS(ROW(), COLUMN()-1)), "")</f>
        <v>5</v>
      </c>
      <c r="H31" s="79">
        <f ca="1">G31</f>
        <v>5</v>
      </c>
      <c r="I31" s="16" cm="1">
        <f t="array" aca="1" ref="I31" ca="1">IF(ISNUMBER(INDIRECT(ADDRESS(ROW(), COLUMN()-1))), 0, "")</f>
        <v>0</v>
      </c>
      <c r="J31" s="11" cm="1">
        <f t="array" aca="1" ref="J31" ca="1">IF(ISNUMBER(INDIRECT(ADDRESS(ROW(), COLUMN()-1))), Berechnungen!D78, "")</f>
        <v>3696.03</v>
      </c>
    </row>
    <row r="32" spans="1:10" x14ac:dyDescent="0.25">
      <c r="B32" s="82">
        <f>IFERROR(IF(ISNUMBER(Berechnungen!D76), Berechnungen!D76, IF(AND(ISNUMBER(B31), B31&gt;0), 0, "")), "")</f>
        <v>0</v>
      </c>
      <c r="C32" s="16">
        <v>6</v>
      </c>
      <c r="D32" s="11" t="s">
        <v>42</v>
      </c>
      <c r="E32" s="89">
        <v>2734.29</v>
      </c>
      <c r="F32" s="5">
        <v>5.5</v>
      </c>
      <c r="G32" s="79"/>
      <c r="H32" s="79"/>
      <c r="I32" s="16"/>
      <c r="J32" s="11"/>
    </row>
    <row r="33" spans="1:10" x14ac:dyDescent="0.25">
      <c r="B33" s="82" t="str">
        <f>IFERROR(IF(ISNUMBER(Berechnungen!D70), Berechnungen!D70, IF(AND(ISNUMBER(B32), ABS(B32)&gt;0), 0, "")), "")</f>
        <v/>
      </c>
      <c r="C33" s="16">
        <v>6.5</v>
      </c>
      <c r="D33" s="11" t="s">
        <v>71</v>
      </c>
      <c r="E33" s="89">
        <v>0</v>
      </c>
      <c r="F33" s="5">
        <v>6</v>
      </c>
      <c r="G33" s="79" cm="1">
        <f t="array" aca="1" ref="G33" ca="1">IF(ISNUMBER(INDIRECT(ADDRESS(ROW(), COLUMN()-1))), INDIRECT(ADDRESS(ROW(), COLUMN()-1)), "")</f>
        <v>6</v>
      </c>
      <c r="H33" s="79">
        <f ca="1">G33</f>
        <v>6</v>
      </c>
      <c r="I33" s="16" cm="1">
        <f t="array" aca="1" ref="I33" ca="1">IF(ISNUMBER(INDIRECT(ADDRESS(ROW(), COLUMN()-1))), 0, "")</f>
        <v>0</v>
      </c>
      <c r="J33" s="11" cm="1">
        <f t="array" aca="1" ref="J33" ca="1">IF(ISNUMBER(INDIRECT(ADDRESS(ROW(), COLUMN()-1))), Berechnungen!D78, "")</f>
        <v>3696.03</v>
      </c>
    </row>
    <row r="34" spans="1:10" x14ac:dyDescent="0.25">
      <c r="B34" s="82" t="str">
        <f>IFERROR(IF(ISNUMBER(Berechnungen!D77), Berechnungen!D77, IF(AND(ISNUMBER(B33), B33&gt;0), 0, "")), "")</f>
        <v/>
      </c>
      <c r="C34" s="16">
        <v>7</v>
      </c>
      <c r="D34" s="11" t="s">
        <v>43</v>
      </c>
      <c r="E34" s="89"/>
      <c r="F34" s="5"/>
      <c r="G34" s="79"/>
      <c r="H34" s="79"/>
      <c r="I34" s="16"/>
      <c r="J34" s="11"/>
    </row>
    <row r="35" spans="1:10" x14ac:dyDescent="0.25">
      <c r="B35" s="82" t="str">
        <f>IFERROR(IF(ISNUMBER(Berechnungen!D71), Berechnungen!D71, IF(AND(ISNUMBER(B34), B34&gt;0), 0, "")), "")</f>
        <v/>
      </c>
      <c r="C35" s="16">
        <v>7.5</v>
      </c>
      <c r="D35" s="11" t="s">
        <v>72</v>
      </c>
      <c r="E35" s="89"/>
      <c r="F35" s="5"/>
      <c r="G35" s="79" t="str" cm="1">
        <f t="array" aca="1" ref="G35" ca="1">IF(ISNUMBER(INDIRECT(ADDRESS(ROW(), COLUMN()-1))), INDIRECT(ADDRESS(ROW(), COLUMN()-1)), "")</f>
        <v/>
      </c>
      <c r="H35" s="79" t="str">
        <f ca="1">G35</f>
        <v/>
      </c>
      <c r="I35" s="16" t="str" cm="1">
        <f t="array" aca="1" ref="I35" ca="1">IF(ISNUMBER(INDIRECT(ADDRESS(ROW(), COLUMN()-1))), 0, "")</f>
        <v/>
      </c>
      <c r="J35" s="11" t="str" cm="1">
        <f t="array" aca="1" ref="J35" ca="1">IF(ISNUMBER(INDIRECT(ADDRESS(ROW(), COLUMN()-1))), Berechnungen!D78, "")</f>
        <v/>
      </c>
    </row>
    <row r="36" spans="1:10" ht="15.75" thickBot="1" x14ac:dyDescent="0.3">
      <c r="B36" s="83" t="str">
        <f>IFERROR(IF(AND(ISNUMBER(B35), B35&gt;0), 0, ""), "")</f>
        <v/>
      </c>
      <c r="C36" s="84">
        <v>8</v>
      </c>
      <c r="D36" s="13" t="s">
        <v>44</v>
      </c>
      <c r="E36" s="89"/>
      <c r="F36" s="5"/>
      <c r="G36" s="79"/>
      <c r="H36" s="79"/>
      <c r="I36" s="16"/>
      <c r="J36" s="11"/>
    </row>
    <row r="37" spans="1:10" ht="15.75" thickBot="1" x14ac:dyDescent="0.3">
      <c r="E37" s="90"/>
      <c r="F37" s="6"/>
      <c r="G37" s="80" t="str" cm="1">
        <f t="array" aca="1" ref="G37" ca="1">IF(ISNUMBER(INDIRECT(ADDRESS(ROW(), COLUMN()-1))), INDIRECT(ADDRESS(ROW(), COLUMN()-1)), "")</f>
        <v/>
      </c>
      <c r="H37" s="80" t="str">
        <f ca="1">G37</f>
        <v/>
      </c>
      <c r="I37" s="84" t="str" cm="1">
        <f t="array" aca="1" ref="I37" ca="1">IF(ISNUMBER(INDIRECT(ADDRESS(ROW(), COLUMN()-1))), 0, "")</f>
        <v/>
      </c>
      <c r="J37" s="13" t="str" cm="1">
        <f t="array" aca="1" ref="J37" ca="1">IF(ISNUMBER(INDIRECT(ADDRESS(ROW(), COLUMN()-1))), Berechnungen!D78, "")</f>
        <v/>
      </c>
    </row>
    <row r="39" spans="1:10" x14ac:dyDescent="0.25">
      <c r="B39" s="16"/>
      <c r="C39" s="16"/>
    </row>
    <row r="45" spans="1:10" x14ac:dyDescent="0.25">
      <c r="A45">
        <v>1</v>
      </c>
      <c r="B45">
        <v>0</v>
      </c>
    </row>
    <row r="46" spans="1:10" x14ac:dyDescent="0.25">
      <c r="A46">
        <f>D18</f>
        <v>6</v>
      </c>
      <c r="B46">
        <v>0</v>
      </c>
    </row>
    <row r="50" spans="1:4" ht="15.75" thickBot="1" x14ac:dyDescent="0.3"/>
    <row r="51" spans="1:4" ht="15.75" thickBot="1" x14ac:dyDescent="0.3">
      <c r="A51" s="93" t="s">
        <v>114</v>
      </c>
      <c r="B51" s="94"/>
      <c r="C51" s="94"/>
      <c r="D51" s="95"/>
    </row>
    <row r="52" spans="1:4" x14ac:dyDescent="0.25">
      <c r="A52" s="14">
        <v>0</v>
      </c>
      <c r="B52">
        <v>1</v>
      </c>
      <c r="C52" s="132" cm="1">
        <f t="array" ref="C52:C62">_xlfn._xlws.FILTER(A52:A66, A52:A66&lt;&gt;"")</f>
        <v>0</v>
      </c>
      <c r="D52" s="11" cm="1">
        <f t="array" ref="D52:D62">_xlfn._xlws.FILTER(B52:B66, A52:A66&lt;&gt;"")</f>
        <v>1</v>
      </c>
    </row>
    <row r="53" spans="1:4" x14ac:dyDescent="0.25">
      <c r="A53" s="14">
        <f>IFERROR(IF(AND(ISNUMBER(Berechnungen!D100), Berechnungen!D100&lt;&gt;0), Berechnungen!D100, IF(AND(ISNUMBER(A52), ABS(A52)&lt;&gt;0), 0, "")), "")</f>
        <v>0.27609331409453647</v>
      </c>
      <c r="B53">
        <v>1.5</v>
      </c>
      <c r="C53" s="132">
        <v>0.27609331409453647</v>
      </c>
      <c r="D53" s="11">
        <v>1.5</v>
      </c>
    </row>
    <row r="54" spans="1:4" x14ac:dyDescent="0.25">
      <c r="A54" s="14">
        <f>IF(ISNUMBER(A53), 0, "")</f>
        <v>0</v>
      </c>
      <c r="B54">
        <v>2</v>
      </c>
      <c r="C54" s="132">
        <v>0</v>
      </c>
      <c r="D54" s="11">
        <v>2</v>
      </c>
    </row>
    <row r="55" spans="1:4" x14ac:dyDescent="0.25">
      <c r="A55" s="14">
        <f>IFERROR(IF(AND(ISNUMBER(Berechnungen!D101), Berechnungen!D101&lt;&gt;0), Berechnungen!D101, IF(AND(ISNUMBER(A54), ABS(A54)&lt;&gt;0), 0, "")), "")</f>
        <v>6.3713841714123795E-2</v>
      </c>
      <c r="B55">
        <v>2.5</v>
      </c>
      <c r="C55" s="132">
        <v>6.3713841714123795E-2</v>
      </c>
      <c r="D55" s="11">
        <v>2.5</v>
      </c>
    </row>
    <row r="56" spans="1:4" x14ac:dyDescent="0.25">
      <c r="A56" s="14">
        <f>IF(ISNUMBER(A55), 0, "")</f>
        <v>0</v>
      </c>
      <c r="B56">
        <v>3</v>
      </c>
      <c r="C56" s="132">
        <v>0</v>
      </c>
      <c r="D56" s="11">
        <v>3</v>
      </c>
    </row>
    <row r="57" spans="1:4" x14ac:dyDescent="0.25">
      <c r="A57" s="14">
        <f>IFERROR(IF(AND(ISNUMBER(Berechnungen!D102), Berechnungen!D102&lt;&gt;0), Berechnungen!D102, IF(AND(ISNUMBER(A56), ABS(A56)&lt;&gt;0), 0, "")), "")</f>
        <v>0.13592286232346409</v>
      </c>
      <c r="B57">
        <v>3.5</v>
      </c>
      <c r="C57" s="132">
        <v>0.13592286232346409</v>
      </c>
      <c r="D57" s="11">
        <v>3.5</v>
      </c>
    </row>
    <row r="58" spans="1:4" x14ac:dyDescent="0.25">
      <c r="A58" s="14">
        <f>IF(ISNUMBER(A57), 0, "")</f>
        <v>0</v>
      </c>
      <c r="B58">
        <v>4</v>
      </c>
      <c r="C58" s="132">
        <v>0</v>
      </c>
      <c r="D58" s="11">
        <v>4</v>
      </c>
    </row>
    <row r="59" spans="1:4" x14ac:dyDescent="0.25">
      <c r="A59" s="14">
        <f>IFERROR(IF(AND(ISNUMBER(Berechnungen!D103), Berechnungen!D103&lt;&gt;0), Berechnungen!D103, IF(AND(ISNUMBER(A58), ABS(A58)&lt;&gt;0), 0, "")), "")</f>
        <v>6.3713841714123795E-2</v>
      </c>
      <c r="B59">
        <v>4.5</v>
      </c>
      <c r="C59" s="132">
        <v>6.3713841714123795E-2</v>
      </c>
      <c r="D59" s="11">
        <v>4.5</v>
      </c>
    </row>
    <row r="60" spans="1:4" x14ac:dyDescent="0.25">
      <c r="A60" s="14">
        <f>IF(ISNUMBER(A59), 0, "")</f>
        <v>0</v>
      </c>
      <c r="B60">
        <v>5</v>
      </c>
      <c r="C60" s="132">
        <v>0</v>
      </c>
      <c r="D60" s="11">
        <v>5</v>
      </c>
    </row>
    <row r="61" spans="1:4" x14ac:dyDescent="0.25">
      <c r="A61" s="14">
        <f>IFERROR(IF(AND(ISNUMBER(Berechnungen!D104), Berechnungen!D104&lt;&gt;0), Berechnungen!D104, IF(AND(ISNUMBER(A60), ABS(A60)&lt;&gt;0), 0, "")), "")</f>
        <v>0.27609331409453647</v>
      </c>
      <c r="B61">
        <v>5.5</v>
      </c>
      <c r="C61" s="132">
        <v>0.27609331409453647</v>
      </c>
      <c r="D61" s="11">
        <v>5.5</v>
      </c>
    </row>
    <row r="62" spans="1:4" x14ac:dyDescent="0.25">
      <c r="A62" s="14">
        <f>IF(ISNUMBER(A61), 0, "")</f>
        <v>0</v>
      </c>
      <c r="B62">
        <v>6</v>
      </c>
      <c r="C62" s="132">
        <v>0</v>
      </c>
      <c r="D62" s="11">
        <v>6</v>
      </c>
    </row>
    <row r="63" spans="1:4" x14ac:dyDescent="0.25">
      <c r="A63" s="14" t="str">
        <f>IFERROR(IF(AND(ISNUMBER(Berechnungen!D105), Berechnungen!D105&lt;&gt;0), Berechnungen!D105, IF(AND(ISNUMBER(A62), ABS(A62)&lt;&gt;0), 0, "")), "")</f>
        <v/>
      </c>
      <c r="B63">
        <v>6.5</v>
      </c>
      <c r="C63" s="132"/>
      <c r="D63" s="11"/>
    </row>
    <row r="64" spans="1:4" x14ac:dyDescent="0.25">
      <c r="A64" s="14" t="str">
        <f>IF(ISNUMBER(A63), 0, "")</f>
        <v/>
      </c>
      <c r="B64">
        <v>7</v>
      </c>
      <c r="C64" s="132"/>
      <c r="D64" s="11"/>
    </row>
    <row r="65" spans="1:4" x14ac:dyDescent="0.25">
      <c r="A65" s="14" t="str">
        <f>IFERROR(IF(AND(ISNUMBER(Berechnungen!D106), Berechnungen!D106&lt;&gt;0), Berechnungen!D106, IF(AND(ISNUMBER(A64), ABS(A64)&lt;&gt;0), 0, "")), "")</f>
        <v/>
      </c>
      <c r="B65">
        <v>7.5</v>
      </c>
      <c r="C65" s="132"/>
      <c r="D65" s="11"/>
    </row>
    <row r="66" spans="1:4" ht="15.75" thickBot="1" x14ac:dyDescent="0.3">
      <c r="A66" s="96" t="str">
        <f>IF(ISNUMBER(A65), 0, "")</f>
        <v/>
      </c>
      <c r="B66" s="97">
        <v>8</v>
      </c>
      <c r="C66" s="133"/>
      <c r="D66" s="13"/>
    </row>
  </sheetData>
  <sheetProtection algorithmName="SHA-512" hashValue="xElGXMSaiJhTWEXkulVGEE0jgXikOZ6AbpSd6x0hHJdjby/kcE3htWxuDUHKKR5MgqRM1yACD+eJ7ha4Xi7AGA==" saltValue="oToIznZYwwARI5JV/gjGSw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C767-76B7-9347-9895-D8212A51281A}">
  <sheetPr codeName="Tabelle3"/>
  <dimension ref="A1:B16"/>
  <sheetViews>
    <sheetView workbookViewId="0">
      <selection activeCell="K38" sqref="K38"/>
    </sheetView>
  </sheetViews>
  <sheetFormatPr baseColWidth="10" defaultColWidth="11.42578125" defaultRowHeight="15" x14ac:dyDescent="0.25"/>
  <cols>
    <col min="1" max="1" width="18" customWidth="1"/>
    <col min="2" max="2" width="18.7109375" customWidth="1"/>
  </cols>
  <sheetData>
    <row r="1" spans="1:2" x14ac:dyDescent="0.25">
      <c r="A1" s="2" t="s">
        <v>35</v>
      </c>
      <c r="B1" s="2" t="s">
        <v>36</v>
      </c>
    </row>
    <row r="2" spans="1:2" x14ac:dyDescent="0.25">
      <c r="A2">
        <v>10</v>
      </c>
      <c r="B2">
        <v>4.25</v>
      </c>
    </row>
    <row r="3" spans="1:2" x14ac:dyDescent="0.25">
      <c r="A3">
        <v>12</v>
      </c>
      <c r="B3">
        <v>4.74</v>
      </c>
    </row>
    <row r="4" spans="1:2" x14ac:dyDescent="0.25">
      <c r="A4">
        <v>14</v>
      </c>
      <c r="B4">
        <v>5.23</v>
      </c>
    </row>
    <row r="5" spans="1:2" x14ac:dyDescent="0.25">
      <c r="A5">
        <v>16</v>
      </c>
      <c r="B5">
        <v>5.72</v>
      </c>
    </row>
    <row r="6" spans="1:2" x14ac:dyDescent="0.25">
      <c r="A6">
        <v>18</v>
      </c>
      <c r="B6">
        <v>6.21</v>
      </c>
    </row>
    <row r="7" spans="1:2" x14ac:dyDescent="0.25">
      <c r="A7">
        <v>20</v>
      </c>
      <c r="B7">
        <v>6.71</v>
      </c>
    </row>
    <row r="8" spans="1:2" x14ac:dyDescent="0.25">
      <c r="A8">
        <v>22</v>
      </c>
      <c r="B8">
        <v>7.2</v>
      </c>
    </row>
    <row r="9" spans="1:2" x14ac:dyDescent="0.25">
      <c r="A9">
        <v>24</v>
      </c>
      <c r="B9">
        <v>7.69</v>
      </c>
    </row>
    <row r="10" spans="1:2" x14ac:dyDescent="0.25">
      <c r="A10">
        <v>26</v>
      </c>
      <c r="B10">
        <v>8.18</v>
      </c>
    </row>
    <row r="11" spans="1:2" x14ac:dyDescent="0.25">
      <c r="A11">
        <v>28</v>
      </c>
      <c r="B11">
        <v>8.67</v>
      </c>
    </row>
    <row r="12" spans="1:2" x14ac:dyDescent="0.25">
      <c r="A12">
        <v>30</v>
      </c>
      <c r="B12">
        <v>9.16</v>
      </c>
    </row>
    <row r="13" spans="1:2" x14ac:dyDescent="0.25">
      <c r="A13">
        <v>35</v>
      </c>
      <c r="B13">
        <v>10.49</v>
      </c>
    </row>
    <row r="14" spans="1:2" x14ac:dyDescent="0.25">
      <c r="A14">
        <v>40</v>
      </c>
      <c r="B14">
        <v>11.84</v>
      </c>
    </row>
    <row r="15" spans="1:2" x14ac:dyDescent="0.25">
      <c r="A15">
        <v>45</v>
      </c>
      <c r="B15">
        <v>13.19</v>
      </c>
    </row>
    <row r="16" spans="1:2" x14ac:dyDescent="0.25">
      <c r="A16">
        <v>50</v>
      </c>
      <c r="B16">
        <v>14.54</v>
      </c>
    </row>
  </sheetData>
  <sheetProtection algorithmName="SHA-512" hashValue="zUqu60590t02Jg+I2LttAoNDwostdmu7be8FymNm2IzFbIAuMX6SS/2EZ6XhnYC+HGrl0jDVojkmZART9IOK+g==" saltValue="CBINqdH+DEK7P4wqAaynew==" spinCount="100000" sheet="1" objects="1" scenarios="1" selectLockedCells="1" selectUnlockedCell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1C0F-7DD0-0246-A04C-2F5A6687DD5E}">
  <sheetPr codeName="Tabelle4"/>
  <dimension ref="A1:AD8"/>
  <sheetViews>
    <sheetView zoomScale="111" workbookViewId="0">
      <selection activeCell="AD15" sqref="AD15"/>
    </sheetView>
  </sheetViews>
  <sheetFormatPr baseColWidth="10" defaultColWidth="11.42578125" defaultRowHeight="15" x14ac:dyDescent="0.25"/>
  <cols>
    <col min="18" max="22" width="10.85546875" customWidth="1"/>
  </cols>
  <sheetData>
    <row r="1" spans="1:30" x14ac:dyDescent="0.25">
      <c r="A1" s="1" t="s">
        <v>5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28</v>
      </c>
      <c r="K1" s="1" t="s">
        <v>45</v>
      </c>
      <c r="L1" s="1" t="s">
        <v>30</v>
      </c>
      <c r="M1" s="1" t="s">
        <v>31</v>
      </c>
      <c r="N1" s="1" t="s">
        <v>63</v>
      </c>
      <c r="O1" s="1" t="s">
        <v>64</v>
      </c>
      <c r="P1" s="1" t="s">
        <v>65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83</v>
      </c>
      <c r="AB1" s="1" t="s">
        <v>84</v>
      </c>
      <c r="AC1" s="1" t="s">
        <v>85</v>
      </c>
      <c r="AD1" s="1" t="s">
        <v>115</v>
      </c>
    </row>
    <row r="2" spans="1:30" x14ac:dyDescent="0.25">
      <c r="A2" s="3" t="s">
        <v>56</v>
      </c>
      <c r="B2" s="3">
        <v>0.375</v>
      </c>
      <c r="C2" s="3">
        <v>1.25</v>
      </c>
      <c r="D2" s="3">
        <v>0.375</v>
      </c>
      <c r="E2" s="3"/>
      <c r="F2" s="3"/>
      <c r="G2" s="3"/>
      <c r="H2" s="3"/>
      <c r="I2" s="3"/>
      <c r="J2" s="3">
        <v>7.0300000000000001E-2</v>
      </c>
      <c r="K2" s="3">
        <v>7.0300000000000001E-2</v>
      </c>
      <c r="L2" s="3"/>
      <c r="M2" s="3"/>
      <c r="N2" s="3"/>
      <c r="O2" s="3"/>
      <c r="P2" s="3"/>
      <c r="Q2" s="3">
        <v>-0.125</v>
      </c>
      <c r="R2" s="3"/>
      <c r="S2" s="3"/>
      <c r="T2" s="3"/>
      <c r="U2" s="3"/>
      <c r="V2" s="3"/>
      <c r="W2" s="3">
        <v>5.4000000000000003E-3</v>
      </c>
      <c r="X2" s="3">
        <v>5.4000000000000003E-3</v>
      </c>
      <c r="Y2" s="3"/>
      <c r="Z2" s="3"/>
      <c r="AA2" s="3"/>
      <c r="AB2" s="3"/>
      <c r="AC2" s="3"/>
      <c r="AD2" s="3">
        <v>4</v>
      </c>
    </row>
    <row r="3" spans="1:30" x14ac:dyDescent="0.25">
      <c r="A3" s="3" t="s">
        <v>57</v>
      </c>
      <c r="B3" s="3">
        <v>0.4</v>
      </c>
      <c r="C3" s="3">
        <v>1.1000000000000001</v>
      </c>
      <c r="D3" s="3">
        <v>1.1000000000000001</v>
      </c>
      <c r="E3" s="3">
        <v>0.4</v>
      </c>
      <c r="F3" s="3"/>
      <c r="G3" s="3"/>
      <c r="H3" s="3"/>
      <c r="I3" s="3"/>
      <c r="J3" s="3">
        <v>0.08</v>
      </c>
      <c r="K3" s="3">
        <v>2.5000000000000001E-2</v>
      </c>
      <c r="L3" s="3">
        <v>0.08</v>
      </c>
      <c r="M3" s="3"/>
      <c r="N3" s="3"/>
      <c r="O3" s="3"/>
      <c r="P3" s="3"/>
      <c r="Q3" s="3">
        <v>-0.1</v>
      </c>
      <c r="R3" s="3">
        <v>-0.1</v>
      </c>
      <c r="S3" s="3"/>
      <c r="T3" s="3"/>
      <c r="U3" s="3"/>
      <c r="V3" s="3"/>
      <c r="W3" s="3">
        <v>6.7999999999999996E-3</v>
      </c>
      <c r="X3" s="3">
        <v>5.1999999999999995E-4</v>
      </c>
      <c r="Y3" s="3">
        <v>6.7999999999999996E-3</v>
      </c>
      <c r="Z3" s="3"/>
      <c r="AA3" s="3"/>
      <c r="AB3" s="3"/>
      <c r="AC3" s="3"/>
      <c r="AD3" s="3">
        <v>5</v>
      </c>
    </row>
    <row r="4" spans="1:30" x14ac:dyDescent="0.25">
      <c r="A4" s="3" t="s">
        <v>58</v>
      </c>
      <c r="B4" s="3">
        <v>0.39300000000000002</v>
      </c>
      <c r="C4" s="3">
        <v>1.143</v>
      </c>
      <c r="D4" s="3">
        <v>0.92800000000000005</v>
      </c>
      <c r="E4" s="3">
        <v>1.143</v>
      </c>
      <c r="F4" s="3">
        <v>0.39300000000000002</v>
      </c>
      <c r="G4" s="3"/>
      <c r="H4" s="3"/>
      <c r="I4" s="3"/>
      <c r="J4" s="3">
        <v>7.7200000000000005E-2</v>
      </c>
      <c r="K4" s="3">
        <v>3.6400000000000002E-2</v>
      </c>
      <c r="L4" s="3">
        <v>3.6400000000000002E-2</v>
      </c>
      <c r="M4" s="3">
        <v>7.7200000000000005E-2</v>
      </c>
      <c r="N4" s="3"/>
      <c r="O4" s="3"/>
      <c r="P4" s="3"/>
      <c r="Q4" s="3">
        <v>-0.1071</v>
      </c>
      <c r="R4" s="3">
        <v>-7.1400000000000005E-2</v>
      </c>
      <c r="S4" s="3">
        <v>-0.1071</v>
      </c>
      <c r="T4" s="3"/>
      <c r="U4" s="3"/>
      <c r="V4" s="3"/>
      <c r="W4" s="3">
        <v>6.4999999999999997E-3</v>
      </c>
      <c r="X4" s="3">
        <v>1.9E-3</v>
      </c>
      <c r="Y4" s="3">
        <v>1.9E-3</v>
      </c>
      <c r="Z4" s="3">
        <v>6.4999999999999997E-3</v>
      </c>
      <c r="AA4" s="3"/>
      <c r="AB4" s="3"/>
      <c r="AC4" s="3"/>
      <c r="AD4" s="3">
        <v>6</v>
      </c>
    </row>
    <row r="5" spans="1:30" x14ac:dyDescent="0.25">
      <c r="A5" s="3" t="s">
        <v>59</v>
      </c>
      <c r="B5" s="3">
        <v>0.39500000000000002</v>
      </c>
      <c r="C5" s="3">
        <v>1.1319999999999999</v>
      </c>
      <c r="D5" s="3">
        <v>0.97299999999999998</v>
      </c>
      <c r="E5" s="3">
        <v>0.97299999999999998</v>
      </c>
      <c r="F5" s="3">
        <v>1.1319999999999999</v>
      </c>
      <c r="G5" s="3">
        <v>0.39500000000000002</v>
      </c>
      <c r="H5" s="3"/>
      <c r="I5" s="3"/>
      <c r="J5" s="3">
        <v>7.7899999999999997E-2</v>
      </c>
      <c r="K5" s="3">
        <v>3.32E-2</v>
      </c>
      <c r="L5" s="3">
        <v>4.6100000000000002E-2</v>
      </c>
      <c r="M5" s="3">
        <v>3.32E-2</v>
      </c>
      <c r="N5" s="3">
        <v>7.7899999999999997E-2</v>
      </c>
      <c r="O5" s="3"/>
      <c r="P5" s="3"/>
      <c r="Q5" s="3">
        <v>-0.1053</v>
      </c>
      <c r="R5" s="3">
        <v>-7.8899999999999998E-2</v>
      </c>
      <c r="S5" s="3">
        <v>-7.8899999999999998E-2</v>
      </c>
      <c r="T5" s="3">
        <v>-0.1053</v>
      </c>
      <c r="U5" s="3"/>
      <c r="V5" s="3"/>
      <c r="W5" s="3">
        <v>6.4999999999999997E-3</v>
      </c>
      <c r="X5" s="3">
        <v>1.5E-3</v>
      </c>
      <c r="Y5" s="3">
        <v>3.2000000000000002E-3</v>
      </c>
      <c r="Z5" s="3">
        <v>1.5E-3</v>
      </c>
      <c r="AA5" s="3">
        <v>6.4999999999999997E-3</v>
      </c>
      <c r="AB5" s="3"/>
      <c r="AC5" s="3"/>
      <c r="AD5" s="3">
        <v>7</v>
      </c>
    </row>
    <row r="6" spans="1:30" x14ac:dyDescent="0.25">
      <c r="A6" s="3" t="s">
        <v>60</v>
      </c>
      <c r="B6" s="3">
        <v>0.39400000000000002</v>
      </c>
      <c r="C6" s="3">
        <v>1.135</v>
      </c>
      <c r="D6" s="3">
        <v>0.96199999999999997</v>
      </c>
      <c r="E6" s="3">
        <v>1.0189999999999999</v>
      </c>
      <c r="F6" s="3">
        <v>0.96199999999999997</v>
      </c>
      <c r="G6" s="3">
        <v>1.135</v>
      </c>
      <c r="H6" s="3">
        <v>0.39400000000000002</v>
      </c>
      <c r="I6" s="3"/>
      <c r="J6" s="3">
        <v>7.7700000000000005E-2</v>
      </c>
      <c r="K6" s="3">
        <v>3.4299999999999997E-2</v>
      </c>
      <c r="L6" s="3">
        <v>4.3299999999999998E-2</v>
      </c>
      <c r="M6" s="3">
        <v>4.3299999999999998E-2</v>
      </c>
      <c r="N6" s="3">
        <v>3.4299999999999997E-2</v>
      </c>
      <c r="O6" s="3">
        <v>7.7700000000000005E-2</v>
      </c>
      <c r="P6" s="3"/>
      <c r="Q6" s="3">
        <v>-0.10580000000000001</v>
      </c>
      <c r="R6" s="3">
        <v>-7.6899999999999996E-2</v>
      </c>
      <c r="S6" s="3">
        <v>-8.6499999999999994E-2</v>
      </c>
      <c r="T6" s="3">
        <v>-7.6899999999999996E-2</v>
      </c>
      <c r="U6" s="3">
        <v>-0.10580000000000001</v>
      </c>
      <c r="V6" s="3"/>
      <c r="W6" s="3">
        <v>6.4000000000000003E-3</v>
      </c>
      <c r="X6" s="3">
        <v>1.6000000000000001E-3</v>
      </c>
      <c r="Y6" s="3">
        <v>2.8E-3</v>
      </c>
      <c r="Z6" s="3">
        <v>2.8E-3</v>
      </c>
      <c r="AA6" s="3">
        <v>1.6000000000000001E-3</v>
      </c>
      <c r="AB6" s="3">
        <v>6.4000000000000003E-3</v>
      </c>
      <c r="AC6" s="3"/>
      <c r="AD6" s="3">
        <v>8</v>
      </c>
    </row>
    <row r="7" spans="1:30" x14ac:dyDescent="0.25">
      <c r="A7" s="3" t="s">
        <v>6</v>
      </c>
      <c r="B7" s="3">
        <v>0.39400000000000002</v>
      </c>
      <c r="C7" s="3">
        <v>1.1339999999999999</v>
      </c>
      <c r="D7" s="3">
        <v>0.96499999999999997</v>
      </c>
      <c r="E7" s="3">
        <v>1.0069999999999999</v>
      </c>
      <c r="F7" s="3">
        <v>1.0069999999999999</v>
      </c>
      <c r="G7" s="3">
        <v>0.96499999999999997</v>
      </c>
      <c r="H7" s="3">
        <v>1.1339999999999999</v>
      </c>
      <c r="I7" s="3">
        <v>0.39400000000000002</v>
      </c>
      <c r="J7" s="3">
        <v>7.7799999999999994E-2</v>
      </c>
      <c r="K7" s="3">
        <v>3.3799999999999997E-2</v>
      </c>
      <c r="L7" s="3">
        <v>4.3999999999999997E-2</v>
      </c>
      <c r="M7" s="3">
        <v>4.4999999999999998E-2</v>
      </c>
      <c r="N7" s="3">
        <v>4.3999999999999997E-2</v>
      </c>
      <c r="O7" s="3">
        <v>3.3799999999999997E-2</v>
      </c>
      <c r="P7" s="3">
        <v>7.7799999999999994E-2</v>
      </c>
      <c r="Q7" s="3">
        <v>-0.1056</v>
      </c>
      <c r="R7" s="3">
        <v>-7.7499999999999999E-2</v>
      </c>
      <c r="S7" s="3">
        <v>-8.4500000000000006E-2</v>
      </c>
      <c r="T7" s="3">
        <v>-8.4500000000000006E-2</v>
      </c>
      <c r="U7" s="3">
        <v>-7.7499999999999999E-2</v>
      </c>
      <c r="V7" s="3">
        <v>-0.1056</v>
      </c>
      <c r="W7" s="3">
        <v>6.4999999999999997E-3</v>
      </c>
      <c r="X7" s="3">
        <v>1.6000000000000001E-3</v>
      </c>
      <c r="Y7" s="3">
        <v>2.8999999999999998E-3</v>
      </c>
      <c r="Z7" s="3">
        <v>2.3999999999999998E-3</v>
      </c>
      <c r="AA7" s="3">
        <v>2.8999999999999998E-3</v>
      </c>
      <c r="AB7" s="3">
        <v>1.6000000000000001E-3</v>
      </c>
      <c r="AC7" s="3">
        <v>6.4999999999999997E-3</v>
      </c>
      <c r="AD7" s="3">
        <v>9</v>
      </c>
    </row>
    <row r="8" spans="1:30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</sheetData>
  <sheetProtection algorithmName="SHA-512" hashValue="BbZnc7Jmd7c/MgODdvot2q3H3qWKtiKaxC5zAiglHS3UoaMAQtK6y87cmI9ez6Zd46hsFaxewA+oY5myVB5bjw==" saltValue="G3YxtdgC9iyWsm1TDjD5Eg==" spinCount="100000" sheet="1" objects="1" scenarios="1" selectLockedCells="1" selectUnlockedCells="1"/>
  <phoneticPr fontId="7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C9D1BDF-618F-478F-98D4-53518F5260A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1B26EC-3D87-4179-8644-199484A9DC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25051C-4CE5-49DB-8300-60AFE31000DA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Berechnungen</vt:lpstr>
      <vt:lpstr>Rundungen</vt:lpstr>
      <vt:lpstr>Doka20</vt:lpstr>
      <vt:lpstr>Durchlaufende Träger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Meile Jeremy</cp:lastModifiedBy>
  <cp:revision/>
  <dcterms:created xsi:type="dcterms:W3CDTF">2024-08-19T19:48:24Z</dcterms:created>
  <dcterms:modified xsi:type="dcterms:W3CDTF">2024-09-27T13:50:54Z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