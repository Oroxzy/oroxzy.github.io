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BST Baustatik\"/>
    </mc:Choice>
  </mc:AlternateContent>
  <xr:revisionPtr revIDLastSave="0" documentId="13_ncr:1_{7218651A-7DC9-4CED-AB17-1C64FD2603DF}" xr6:coauthVersionLast="47" xr6:coauthVersionMax="47" xr10:uidLastSave="{00000000-0000-0000-0000-000000000000}"/>
  <bookViews>
    <workbookView xWindow="44295" yWindow="255" windowWidth="28575" windowHeight="19860" xr2:uid="{799B194C-0482-274A-9A7A-35CF92BBC956}"/>
  </bookViews>
  <sheets>
    <sheet name="Berechnungen" sheetId="1" r:id="rId1"/>
    <sheet name="Knickfall" sheetId="11" state="hidden" r:id="rId2"/>
    <sheet name="Witterung" sheetId="8" state="hidden" r:id="rId3"/>
    <sheet name="KC_Vollholz" sheetId="3" state="hidden" r:id="rId4"/>
    <sheet name="KC_Brettschichtholz" sheetId="5" state="hidden" r:id="rId5"/>
    <sheet name="C24_Rundholz" sheetId="7" state="hidden" r:id="rId6"/>
    <sheet name="Holz" sheetId="2" state="hidden" r:id="rId7"/>
    <sheet name="Holztyp" sheetId="4" state="hidden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" l="1"/>
  <c r="D36" i="1"/>
  <c r="D32" i="1"/>
  <c r="B32" i="1"/>
  <c r="B24" i="1" l="1"/>
  <c r="B17" i="1"/>
  <c r="C67" i="1"/>
  <c r="B23" i="1" l="1"/>
  <c r="D23" i="1"/>
  <c r="C70" i="1"/>
  <c r="C68" i="1"/>
  <c r="B55" i="1"/>
  <c r="B29" i="1"/>
  <c r="B52" i="1"/>
  <c r="B56" i="1"/>
  <c r="B50" i="1"/>
  <c r="B33" i="1"/>
  <c r="B36" i="1"/>
  <c r="D37" i="1" s="1"/>
  <c r="D34" i="1"/>
  <c r="B37" i="1" l="1"/>
  <c r="D58" i="1"/>
  <c r="B58" i="1"/>
  <c r="B59" i="1" s="1" a="1"/>
  <c r="B59" i="1" s="1"/>
  <c r="B60" i="1" s="1"/>
  <c r="D60" i="1" l="1"/>
  <c r="B27" i="1"/>
  <c r="B38" i="1" s="1"/>
  <c r="D38" i="1" l="1"/>
  <c r="B39" i="1" a="1"/>
  <c r="B39" i="1" s="1"/>
  <c r="B61" i="1"/>
  <c r="A61" i="1" s="1"/>
  <c r="D61" i="1"/>
  <c r="B43" i="1" l="1"/>
  <c r="D40" i="1"/>
  <c r="D43" i="1"/>
  <c r="B40" i="1"/>
  <c r="D42" i="1" s="1"/>
  <c r="B44" i="1"/>
  <c r="D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<sst xmlns="http://schemas.openxmlformats.org/spreadsheetml/2006/main" count="161" uniqueCount="94">
  <si>
    <t>Knicknachweis</t>
  </si>
  <si>
    <t>meile.jeremy@stud.bauschule.ch</t>
  </si>
  <si>
    <t>Knickfall</t>
  </si>
  <si>
    <t>Wert</t>
  </si>
  <si>
    <t>Einheit</t>
  </si>
  <si>
    <t>Lösungsweg</t>
  </si>
  <si>
    <t>Fall 2 (Unten und oben gelenkig)</t>
  </si>
  <si>
    <t>Stützenlänge</t>
  </si>
  <si>
    <t>m</t>
  </si>
  <si>
    <t>kN/m²</t>
  </si>
  <si>
    <t>Einflussfläche der Stütze</t>
  </si>
  <si>
    <t>m²</t>
  </si>
  <si>
    <t>Knicklänge</t>
  </si>
  <si>
    <t>mm</t>
  </si>
  <si>
    <t>Kraft am Stützenkopf (Belastung)</t>
  </si>
  <si>
    <t>kN</t>
  </si>
  <si>
    <t>Rechteckige Holzstützen</t>
  </si>
  <si>
    <t>GL28c</t>
  </si>
  <si>
    <t>Keine Einheit!</t>
  </si>
  <si>
    <t>Automatisch aus der HBT 21 gewählt</t>
  </si>
  <si>
    <t>Brettschichtholz</t>
  </si>
  <si>
    <t>Vor der Witterung geschützte Bauteile</t>
  </si>
  <si>
    <t>Belastung (Nd)</t>
  </si>
  <si>
    <t>Knicklänge X (Länge)</t>
  </si>
  <si>
    <t>Min. Kantenlänge Y (Breite)</t>
  </si>
  <si>
    <t>Druck parallel zur Faserrichtung (fc,d)</t>
  </si>
  <si>
    <t>N/mm²</t>
  </si>
  <si>
    <t>Kantenlänge Y (Breite)</t>
  </si>
  <si>
    <t xml:space="preserve">Trägheitsradius (i,z) </t>
  </si>
  <si>
    <t>Schlankheitsgrad (λ,z)</t>
  </si>
  <si>
    <t>Relative Schlankheit (λrel,z)</t>
  </si>
  <si>
    <t>Knickbeiwert (Kc,z)</t>
  </si>
  <si>
    <t>Min. Kantenlänge Z (Höhe)</t>
  </si>
  <si>
    <t>Kantenlänge Z (Höhe)</t>
  </si>
  <si>
    <r>
      <t>Knickwiderstand (</t>
    </r>
    <r>
      <rPr>
        <sz val="12"/>
        <color rgb="FF000000"/>
        <rFont val="Aptos Display"/>
        <family val="2"/>
        <scheme val="major"/>
      </rPr>
      <t>NK,Rd)</t>
    </r>
  </si>
  <si>
    <t>Horizontale Bemessungskraft Y (HKr,d​)</t>
  </si>
  <si>
    <t>- Alle Lösungen der Liste sind richtig</t>
  </si>
  <si>
    <t>Rundholz Stützen</t>
  </si>
  <si>
    <t>C24</t>
  </si>
  <si>
    <t>Durchmesser (D)</t>
  </si>
  <si>
    <t>Flächenträgheitsmoment (i)</t>
  </si>
  <si>
    <t>Druck parallel zur Faserrichtung</t>
  </si>
  <si>
    <t>Relative Schlankheit λrel</t>
  </si>
  <si>
    <t>Knickbeiwert (Kc)</t>
  </si>
  <si>
    <r>
      <t>Knickwiderstand (</t>
    </r>
    <r>
      <rPr>
        <sz val="12"/>
        <color rgb="FF000000"/>
        <rFont val="Aptos Display"/>
        <family val="2"/>
        <scheme val="major"/>
      </rPr>
      <t>NK,Rd)</t>
    </r>
  </si>
  <si>
    <t>Schlankheitsgradrechner</t>
  </si>
  <si>
    <t>Stützenhöhe (lk)</t>
  </si>
  <si>
    <t>H</t>
  </si>
  <si>
    <t>Querschnitt</t>
  </si>
  <si>
    <t>L</t>
  </si>
  <si>
    <t>B</t>
  </si>
  <si>
    <t xml:space="preserve">iz = </t>
  </si>
  <si>
    <t>Schlankheitsgrad</t>
  </si>
  <si>
    <t>λK</t>
  </si>
  <si>
    <t>Berechnung Grenz-Abmessung für λK = 150</t>
  </si>
  <si>
    <t xml:space="preserve">aMIN (Kantenlänge) = </t>
  </si>
  <si>
    <t>Faktor</t>
  </si>
  <si>
    <t>Fall 1 (Unten eingepsannt)</t>
  </si>
  <si>
    <t>Fall 3 (Unten eingespannt, oben gelenkig)</t>
  </si>
  <si>
    <t>Fall 4 (Unten und oben eingespannt)</t>
  </si>
  <si>
    <t>Art</t>
  </si>
  <si>
    <t xml:space="preserve">Vor der Witterung teilweise geschützte Bauteile </t>
  </si>
  <si>
    <t>Feuchte Bauteile</t>
  </si>
  <si>
    <t>k_c-Wert</t>
  </si>
  <si>
    <t>D (mm)</t>
  </si>
  <si>
    <t>i (mm)</t>
  </si>
  <si>
    <t>Spalte1</t>
  </si>
  <si>
    <t>Spalte2</t>
  </si>
  <si>
    <t>Druck paralell zur Faserrichtung</t>
  </si>
  <si>
    <t>Spalte3</t>
  </si>
  <si>
    <t>Holzart</t>
  </si>
  <si>
    <t>C16</t>
  </si>
  <si>
    <t>Schnittholz</t>
  </si>
  <si>
    <t>C30</t>
  </si>
  <si>
    <t>D30</t>
  </si>
  <si>
    <t>GL20h</t>
  </si>
  <si>
    <t>Vollholz/Brettschichtholz</t>
  </si>
  <si>
    <t>GL24c</t>
  </si>
  <si>
    <t>GL24h</t>
  </si>
  <si>
    <t>GL28h</t>
  </si>
  <si>
    <t>GL32c</t>
  </si>
  <si>
    <t>GL32h</t>
  </si>
  <si>
    <t>Vollholz/Schnittholz</t>
  </si>
  <si>
    <t>- Es wird die Stütze mit dem kleinsten Querschnitt gewählt, da sie den wenigsten Platz beansprucht.</t>
  </si>
  <si>
    <t>Breite (mm)</t>
  </si>
  <si>
    <t>Knickwiderstand (kN)</t>
  </si>
  <si>
    <t>gk (inkl. Eigengewicht)</t>
  </si>
  <si>
    <t>qk</t>
  </si>
  <si>
    <t>Wird automatisch mit 1.5 multipliziert in der unteren Berechnung</t>
  </si>
  <si>
    <t>Wird automatisch mit 1.35 multipliziert in der unteren Berechnung</t>
  </si>
  <si>
    <t>Querschnitt (mm2)</t>
  </si>
  <si>
    <t>Knickwiderstand pro mm2 (kN/mm2)</t>
  </si>
  <si>
    <t>- Erstellt eine Liste mit 15 Lösungen</t>
  </si>
  <si>
    <t>Hoehe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</si>
</sst>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"/>
    <numFmt numFmtId="165" formatCode="#,##0.000"/>
    <numFmt numFmtId="166" formatCode="0.000"/>
    <numFmt numFmtId="167" formatCode="#,##0.0000"/>
  </numFmts>
  <fonts count="26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"/>
      <family val="2"/>
    </font>
    <font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theme="0"/>
      <name val="Aptos Display"/>
      <family val="2"/>
      <scheme val="maj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i/>
      <sz val="10"/>
      <color theme="1"/>
      <name val="Aptos Display"/>
      <family val="2"/>
      <scheme val="major"/>
    </font>
    <font>
      <sz val="12"/>
      <color rgb="FF3F3F76"/>
      <name val="Aptos Display"/>
      <family val="2"/>
      <scheme val="major"/>
    </font>
    <font>
      <b/>
      <sz val="12"/>
      <color rgb="FF3F3F3F"/>
      <name val="Aptos Display"/>
      <family val="2"/>
      <scheme val="major"/>
    </font>
    <font>
      <b/>
      <sz val="12"/>
      <color rgb="FFFA7D00"/>
      <name val="Aptos Display"/>
      <family val="2"/>
      <scheme val="major"/>
    </font>
    <font>
      <sz val="12"/>
      <color rgb="FF000000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2"/>
      <color rgb="FF000000"/>
      <name val="Aptos Display"/>
      <family val="2"/>
      <scheme val="major"/>
    </font>
    <font>
      <sz val="11"/>
      <color theme="5" tint="0.79998168889431442"/>
      <name val="Aptos Display"/>
      <family val="2"/>
      <scheme val="major"/>
    </font>
    <font>
      <sz val="10"/>
      <color theme="1"/>
      <name val="Aptos Display"/>
      <family val="2"/>
      <scheme val="major"/>
    </font>
    <font>
      <sz val="14"/>
      <color rgb="FF000000"/>
      <name val="Aptos Narrow"/>
    </font>
    <font>
      <sz val="13"/>
      <color rgb="FF000000"/>
      <name val="Lucida Grande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2F2F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5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6" fillId="4" borderId="9" applyNumberFormat="0" applyFont="0" applyAlignment="0" applyProtection="0"/>
    <xf numFmtId="0" fontId="1" fillId="8" borderId="0" applyNumberFormat="0" applyBorder="0" applyAlignment="0" applyProtection="0"/>
  </cellStyleXfs>
  <cellXfs count="71">
    <xf numFmtId="0" fontId="0" fillId="0" borderId="0" xfId="0"/>
    <xf numFmtId="0" fontId="5" fillId="0" borderId="8" xfId="0" applyFont="1" applyBorder="1" applyAlignment="1">
      <alignment horizontal="center" vertical="top"/>
    </xf>
    <xf numFmtId="0" fontId="8" fillId="0" borderId="0" xfId="0" applyFont="1"/>
    <xf numFmtId="164" fontId="8" fillId="0" borderId="0" xfId="0" applyNumberFormat="1" applyFont="1"/>
    <xf numFmtId="0" fontId="9" fillId="0" borderId="0" xfId="0" applyFont="1"/>
    <xf numFmtId="0" fontId="10" fillId="0" borderId="8" xfId="0" applyFont="1" applyBorder="1" applyAlignment="1">
      <alignment horizontal="center" vertical="top"/>
    </xf>
    <xf numFmtId="0" fontId="11" fillId="7" borderId="12" xfId="0" applyFont="1" applyFill="1" applyBorder="1"/>
    <xf numFmtId="0" fontId="11" fillId="7" borderId="12" xfId="0" applyFont="1" applyFill="1" applyBorder="1" applyAlignment="1">
      <alignment horizontal="right"/>
    </xf>
    <xf numFmtId="0" fontId="12" fillId="0" borderId="0" xfId="0" applyFont="1"/>
    <xf numFmtId="0" fontId="13" fillId="6" borderId="11" xfId="0" applyFont="1" applyFill="1" applyBorder="1"/>
    <xf numFmtId="0" fontId="14" fillId="6" borderId="12" xfId="0" applyFont="1" applyFill="1" applyBorder="1"/>
    <xf numFmtId="0" fontId="14" fillId="6" borderId="13" xfId="0" applyFont="1" applyFill="1" applyBorder="1"/>
    <xf numFmtId="0" fontId="15" fillId="2" borderId="20" xfId="1" applyFont="1" applyBorder="1" applyProtection="1">
      <protection locked="0"/>
    </xf>
    <xf numFmtId="164" fontId="16" fillId="5" borderId="2" xfId="0" applyNumberFormat="1" applyFont="1" applyFill="1" applyBorder="1"/>
    <xf numFmtId="0" fontId="12" fillId="0" borderId="17" xfId="0" applyFont="1" applyBorder="1"/>
    <xf numFmtId="0" fontId="12" fillId="0" borderId="4" xfId="0" applyFont="1" applyBorder="1"/>
    <xf numFmtId="0" fontId="12" fillId="0" borderId="3" xfId="0" applyFont="1" applyBorder="1"/>
    <xf numFmtId="0" fontId="12" fillId="0" borderId="18" xfId="0" applyFont="1" applyBorder="1"/>
    <xf numFmtId="165" fontId="17" fillId="3" borderId="1" xfId="3" applyNumberFormat="1" applyFont="1"/>
    <xf numFmtId="0" fontId="12" fillId="4" borderId="15" xfId="4" applyFont="1" applyBorder="1"/>
    <xf numFmtId="0" fontId="12" fillId="0" borderId="5" xfId="0" applyFont="1" applyBorder="1"/>
    <xf numFmtId="165" fontId="17" fillId="3" borderId="10" xfId="3" applyNumberFormat="1" applyFont="1" applyBorder="1"/>
    <xf numFmtId="0" fontId="12" fillId="0" borderId="19" xfId="0" applyFont="1" applyBorder="1"/>
    <xf numFmtId="0" fontId="12" fillId="4" borderId="16" xfId="4" applyFont="1" applyBorder="1"/>
    <xf numFmtId="1" fontId="16" fillId="3" borderId="2" xfId="2" applyNumberFormat="1" applyFont="1"/>
    <xf numFmtId="0" fontId="14" fillId="0" borderId="17" xfId="0" applyFont="1" applyBorder="1"/>
    <xf numFmtId="0" fontId="14" fillId="0" borderId="4" xfId="0" quotePrefix="1" applyFont="1" applyBorder="1"/>
    <xf numFmtId="0" fontId="14" fillId="0" borderId="18" xfId="0" applyFont="1" applyBorder="1"/>
    <xf numFmtId="165" fontId="15" fillId="2" borderId="1" xfId="1" applyNumberFormat="1" applyFont="1" applyProtection="1">
      <protection locked="0"/>
    </xf>
    <xf numFmtId="0" fontId="16" fillId="3" borderId="2" xfId="2" applyFont="1"/>
    <xf numFmtId="166" fontId="15" fillId="2" borderId="1" xfId="1" applyNumberFormat="1" applyFont="1" applyProtection="1">
      <protection locked="0"/>
    </xf>
    <xf numFmtId="4" fontId="17" fillId="3" borderId="1" xfId="3" applyNumberFormat="1" applyFont="1"/>
    <xf numFmtId="0" fontId="14" fillId="0" borderId="4" xfId="0" applyFont="1" applyBorder="1"/>
    <xf numFmtId="0" fontId="18" fillId="0" borderId="5" xfId="0" applyFont="1" applyBorder="1"/>
    <xf numFmtId="0" fontId="19" fillId="8" borderId="21" xfId="5" applyFont="1" applyBorder="1"/>
    <xf numFmtId="0" fontId="20" fillId="8" borderId="22" xfId="5" applyFont="1" applyBorder="1"/>
    <xf numFmtId="0" fontId="19" fillId="8" borderId="3" xfId="5" applyFont="1" applyBorder="1"/>
    <xf numFmtId="0" fontId="20" fillId="8" borderId="0" xfId="5" applyFont="1" applyBorder="1"/>
    <xf numFmtId="0" fontId="20" fillId="8" borderId="6" xfId="5" applyFont="1" applyBorder="1"/>
    <xf numFmtId="0" fontId="18" fillId="0" borderId="0" xfId="0" applyFont="1"/>
    <xf numFmtId="0" fontId="15" fillId="2" borderId="1" xfId="1" applyFont="1" applyProtection="1">
      <protection locked="0"/>
    </xf>
    <xf numFmtId="0" fontId="16" fillId="5" borderId="2" xfId="0" applyFont="1" applyFill="1" applyBorder="1"/>
    <xf numFmtId="0" fontId="21" fillId="0" borderId="6" xfId="0" applyFont="1" applyBorder="1"/>
    <xf numFmtId="0" fontId="13" fillId="6" borderId="12" xfId="0" applyFont="1" applyFill="1" applyBorder="1"/>
    <xf numFmtId="0" fontId="15" fillId="2" borderId="14" xfId="1" applyFont="1" applyBorder="1" applyProtection="1">
      <protection locked="0"/>
    </xf>
    <xf numFmtId="0" fontId="13" fillId="0" borderId="3" xfId="0" applyFont="1" applyBorder="1"/>
    <xf numFmtId="165" fontId="12" fillId="0" borderId="0" xfId="0" applyNumberFormat="1" applyFont="1"/>
    <xf numFmtId="0" fontId="12" fillId="0" borderId="6" xfId="0" applyFont="1" applyBorder="1"/>
    <xf numFmtId="0" fontId="12" fillId="0" borderId="7" xfId="0" applyFont="1" applyBorder="1"/>
    <xf numFmtId="0" fontId="14" fillId="0" borderId="0" xfId="0" quotePrefix="1" applyFont="1"/>
    <xf numFmtId="0" fontId="12" fillId="4" borderId="23" xfId="4" applyFont="1" applyBorder="1"/>
    <xf numFmtId="0" fontId="14" fillId="0" borderId="0" xfId="0" applyFont="1"/>
    <xf numFmtId="0" fontId="12" fillId="4" borderId="24" xfId="4" applyFont="1" applyBorder="1"/>
    <xf numFmtId="0" fontId="14" fillId="6" borderId="11" xfId="0" applyFont="1" applyFill="1" applyBorder="1" applyProtection="1">
      <protection locked="0"/>
    </xf>
    <xf numFmtId="0" fontId="14" fillId="6" borderId="12" xfId="0" applyFont="1" applyFill="1" applyBorder="1" applyProtection="1">
      <protection locked="0"/>
    </xf>
    <xf numFmtId="0" fontId="14" fillId="6" borderId="13" xfId="0" applyFont="1" applyFill="1" applyBorder="1" applyProtection="1">
      <protection locked="0"/>
    </xf>
    <xf numFmtId="4" fontId="12" fillId="0" borderId="3" xfId="0" applyNumberFormat="1" applyFont="1" applyBorder="1" applyProtection="1">
      <protection locked="0"/>
    </xf>
    <xf numFmtId="167" fontId="12" fillId="0" borderId="4" xfId="0" applyNumberFormat="1" applyFont="1" applyBorder="1" applyProtection="1">
      <protection locked="0"/>
    </xf>
    <xf numFmtId="4" fontId="12" fillId="0" borderId="5" xfId="0" applyNumberFormat="1" applyFont="1" applyBorder="1" applyProtection="1">
      <protection locked="0"/>
    </xf>
    <xf numFmtId="4" fontId="12" fillId="0" borderId="6" xfId="0" applyNumberFormat="1" applyFont="1" applyBorder="1" applyProtection="1">
      <protection locked="0"/>
    </xf>
    <xf numFmtId="167" fontId="12" fillId="0" borderId="7" xfId="0" applyNumberFormat="1" applyFont="1" applyBorder="1" applyProtection="1">
      <protection locked="0"/>
    </xf>
    <xf numFmtId="4" fontId="12" fillId="0" borderId="0" xfId="0" applyNumberFormat="1" applyFont="1"/>
    <xf numFmtId="4" fontId="12" fillId="0" borderId="0" xfId="0" applyNumberFormat="1" applyFont="1" applyProtection="1">
      <protection locked="0"/>
    </xf>
    <xf numFmtId="4" fontId="12" fillId="0" borderId="25" xfId="0" applyNumberFormat="1" applyFont="1" applyBorder="1" applyProtection="1">
      <protection locked="0"/>
    </xf>
    <xf numFmtId="4" fontId="12" fillId="0" borderId="26" xfId="0" applyNumberFormat="1" applyFont="1" applyBorder="1" applyProtection="1">
      <protection locked="0"/>
    </xf>
    <xf numFmtId="4" fontId="12" fillId="0" borderId="27" xfId="0" applyNumberFormat="1" applyFont="1" applyBorder="1" applyProtection="1">
      <protection locked="0"/>
    </xf>
    <xf numFmtId="0" fontId="20" fillId="8" borderId="0" xfId="5" quotePrefix="1" applyFont="1" applyBorder="1"/>
    <xf numFmtId="0" fontId="20" fillId="8" borderId="6" xfId="5" quotePrefix="1" applyFont="1" applyBorder="1"/>
    <xf numFmtId="0" fontId="23" fillId="0" borderId="0" xfId="0" applyFont="1"/>
    <xf numFmtId="4" fontId="15" fillId="2" borderId="1" xfId="1" applyNumberFormat="1" applyFont="1" applyProtection="1">
      <protection locked="0"/>
    </xf>
    <xf numFmtId="0" fontId="22" fillId="8" borderId="5" xfId="5" applyFont="1" applyBorder="1" applyProtection="1">
      <protection locked="0"/>
    </xf>
  </cellXfs>
  <cellStyles count="6">
    <cellStyle name="20 % - Akzent2" xfId="5" builtinId="34"/>
    <cellStyle name="Ausgabe" xfId="2" builtinId="21"/>
    <cellStyle name="Berechnung" xfId="3" builtinId="22"/>
    <cellStyle name="Eingabe" xfId="1" builtinId="20"/>
    <cellStyle name="Notiz" xfId="4" builtinId="10"/>
    <cellStyle name="Standard" xfId="0" builtinId="0"/>
  </cellStyles>
  <dxfs count="36"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E6BC6BCF-09C6-4C59-8719-8F22EECDA1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$4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51279</xdr:colOff>
      <xdr:row>2</xdr:row>
      <xdr:rowOff>104206</xdr:rowOff>
    </xdr:from>
    <xdr:to>
      <xdr:col>0</xdr:col>
      <xdr:colOff>2951209</xdr:colOff>
      <xdr:row>13</xdr:row>
      <xdr:rowOff>187583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79" y="534902"/>
          <a:ext cx="2899930" cy="2148507"/>
        </a:xfrm>
        <a:prstGeom prst="rect">
          <a:avLst/>
        </a:prstGeom>
      </xdr:spPr>
    </xdr:pic>
    <xdr:clientData/>
  </xdr:twoCellAnchor>
  <xdr:twoCellAnchor editAs="oneCell">
    <xdr:from>
      <xdr:col>3</xdr:col>
      <xdr:colOff>1627115</xdr:colOff>
      <xdr:row>2</xdr:row>
      <xdr:rowOff>90596</xdr:rowOff>
    </xdr:from>
    <xdr:to>
      <xdr:col>3</xdr:col>
      <xdr:colOff>4937006</xdr:colOff>
      <xdr:row>13</xdr:row>
      <xdr:rowOff>109002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353" y="535689"/>
          <a:ext cx="3309891" cy="21726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44</xdr:row>
          <xdr:rowOff>38100</xdr:rowOff>
        </xdr:from>
        <xdr:to>
          <xdr:col>0</xdr:col>
          <xdr:colOff>2828925</xdr:colOff>
          <xdr:row>45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400" b="0" i="0" u="none" strike="noStrike" baseline="0">
                  <a:solidFill>
                    <a:srgbClr val="000000"/>
                  </a:solidFill>
                  <a:latin typeface="Aptos Narrow"/>
                </a:rPr>
                <a:t>Möglichkeiten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123825</xdr:rowOff>
        </xdr:from>
        <xdr:to>
          <xdr:col>0</xdr:col>
          <xdr:colOff>2752725</xdr:colOff>
          <xdr:row>47</xdr:row>
          <xdr:rowOff>38100</xdr:rowOff>
        </xdr:to>
        <xdr:sp macro="" textlink="">
          <xdr:nvSpPr>
            <xdr:cNvPr id="1037" name="Check Box 13" descr="Quadratische Stützen erlaube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CH" sz="1300" b="0" i="0" u="none" strike="noStrike" baseline="0">
                  <a:solidFill>
                    <a:srgbClr val="000000"/>
                  </a:solidFill>
                  <a:latin typeface="Lucida Grande"/>
                </a:rPr>
                <a:t>Quadratische Stützen erlauben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6ADD53-AFBF-064D-89E7-4B6A8B9A470D}" name="Tabelle9" displayName="Tabelle9" ref="A1:B5" totalsRowShown="0">
  <autoFilter ref="A1:B5" xr:uid="{F06ADD53-AFBF-064D-89E7-4B6A8B9A470D}"/>
  <tableColumns count="2">
    <tableColumn id="1" xr3:uid="{2F2F9FB6-1370-B446-AC59-08DFF0976595}" name="Knickfall"/>
    <tableColumn id="2" xr3:uid="{48028219-22E9-3C44-AE81-8A5AC320F067}" name="Fak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4AD933-823C-FA42-9877-A7F8EC80C3CD}" name="Tabelle7" displayName="Tabelle7" ref="A1:B4" totalsRowShown="0" headerRowDxfId="25" dataDxfId="24">
  <autoFilter ref="A1:B4" xr:uid="{764AD933-823C-FA42-9877-A7F8EC80C3CD}"/>
  <tableColumns count="2">
    <tableColumn id="1" xr3:uid="{D3BD7C61-7764-9648-93DC-9C95E514B08D}" name="Art" dataDxfId="23"/>
    <tableColumn id="2" xr3:uid="{C17378D5-E310-BD40-89F0-47BB688A75D9}" name="Wert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D6450-11AB-FA43-822F-41CBEAC55165}" name="Tabelle2" displayName="Tabelle2" ref="A1:B141" totalsRowShown="0" headerRowDxfId="21" headerRowBorderDxfId="20" tableBorderDxfId="19">
  <autoFilter ref="A1:B141" xr:uid="{399D6450-11AB-FA43-822F-41CBEAC55165}"/>
  <tableColumns count="2">
    <tableColumn id="1" xr3:uid="{605C6C0D-2BB0-C749-B5F7-CA7608D3CB62}" name="Wert"/>
    <tableColumn id="2" xr3:uid="{41BA9EE5-AF8C-874A-9B6D-C632642FD6E6}" name="k_c-Wer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C470B4-3E6B-404D-89B9-6AFE9BF09882}" name="Tabelle25" displayName="Tabelle25" ref="A1:B141" totalsRowShown="0" headerRowDxfId="18" dataDxfId="16" headerRowBorderDxfId="17" tableBorderDxfId="15">
  <autoFilter ref="A1:B141" xr:uid="{399D6450-11AB-FA43-822F-41CBEAC55165}"/>
  <tableColumns count="2">
    <tableColumn id="1" xr3:uid="{318974BE-98C2-BB45-8E8C-D7B77662FA2D}" name="Wert" dataDxfId="14"/>
    <tableColumn id="2" xr3:uid="{4A641147-5A49-5C48-B433-5E38B155F775}" name="k_c-Wer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91859F-E9F1-954A-9748-05FE951FA175}" name="Tabelle6" displayName="Tabelle6" ref="A1:B17" totalsRowShown="0" headerRowDxfId="12" dataDxfId="10" headerRowBorderDxfId="11" tableBorderDxfId="9">
  <autoFilter ref="A1:B17" xr:uid="{8E91859F-E9F1-954A-9748-05FE951FA175}"/>
  <tableColumns count="2">
    <tableColumn id="1" xr3:uid="{A8E20A69-B975-274A-8187-CD38FFD6AE6D}" name="D (mm)" dataDxfId="8"/>
    <tableColumn id="2" xr3:uid="{84335EF4-D07D-4047-9C36-3D1D9558225F}" name="i (mm)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DB1B49-0C6F-0449-83C9-EBDE120C019F}" name="Tabelle1" displayName="Tabelle1" ref="A1:E12" totalsRowShown="0" headerRowDxfId="6" dataDxfId="5">
  <autoFilter ref="A1:E12" xr:uid="{F2DB1B49-0C6F-0449-83C9-EBDE120C019F}"/>
  <tableColumns count="5">
    <tableColumn id="1" xr3:uid="{C2B945A4-4955-944F-8007-14AF9F17036A}" name="Spalte1" dataDxfId="4"/>
    <tableColumn id="2" xr3:uid="{BC50C0AB-94C9-9545-8482-EA8EE0D29F29}" name="Spalte2" dataDxfId="3"/>
    <tableColumn id="3" xr3:uid="{1E3B3A6E-DBF6-8045-BE4C-DA420E28BFCA}" name="Druck paralell zur Faserrichtung" dataDxfId="2"/>
    <tableColumn id="4" xr3:uid="{8D7BF4A3-54E6-0A4C-9E01-1A55A8FB1A1F}" name="Spalte3" dataDxfId="1"/>
    <tableColumn id="5" xr3:uid="{88764901-CA3C-FC4E-B2B7-2ACD37D5F598}" name="Holzart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3E7E36-9FDE-F742-8436-94952456D585}" name="Tabelle3" displayName="Tabelle3" ref="A1:A3" totalsRowShown="0">
  <autoFilter ref="A1:A3" xr:uid="{5D3E7E36-9FDE-F742-8436-94952456D585}"/>
  <tableColumns count="1">
    <tableColumn id="1" xr3:uid="{4DEDFC08-E384-E742-99A8-90AFB89C93EC}" name="Spalte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E925-A983-CD42-A760-8B1FB0C6E1D6}">
  <sheetPr codeName="Tabelle1"/>
  <dimension ref="A1:I70"/>
  <sheetViews>
    <sheetView showGridLines="0" tabSelected="1" topLeftCell="A28" zoomScale="115" zoomScaleNormal="115" workbookViewId="0">
      <selection activeCell="A50" sqref="A50"/>
    </sheetView>
  </sheetViews>
  <sheetFormatPr baseColWidth="10" defaultColWidth="10.77734375" defaultRowHeight="15"/>
  <cols>
    <col min="1" max="1" width="43.77734375" style="8" bestFit="1" customWidth="1"/>
    <col min="2" max="2" width="16" style="8" bestFit="1" customWidth="1"/>
    <col min="3" max="3" width="11.44140625" style="8" bestFit="1" customWidth="1"/>
    <col min="4" max="4" width="68" style="8" customWidth="1"/>
    <col min="5" max="5" width="10.33203125" style="8" bestFit="1" customWidth="1"/>
    <col min="6" max="6" width="9.6640625" style="8" bestFit="1" customWidth="1"/>
    <col min="7" max="7" width="15.33203125" style="8" bestFit="1" customWidth="1"/>
    <col min="8" max="8" width="17.109375" style="8" bestFit="1" customWidth="1"/>
    <col min="9" max="9" width="27.77734375" style="8" bestFit="1" customWidth="1"/>
    <col min="10" max="10" width="21.6640625" style="8" bestFit="1" customWidth="1"/>
    <col min="11" max="16384" width="10.77734375" style="8"/>
  </cols>
  <sheetData>
    <row r="1" spans="1:4" ht="18.75" thickBot="1">
      <c r="A1" s="6" t="s">
        <v>0</v>
      </c>
      <c r="B1" s="6"/>
      <c r="C1" s="6"/>
      <c r="D1" s="7" t="s">
        <v>1</v>
      </c>
    </row>
    <row r="15" spans="1:4" ht="15.75" thickBot="1"/>
    <row r="16" spans="1:4" ht="16.5" thickBot="1">
      <c r="A16" s="9" t="s">
        <v>2</v>
      </c>
      <c r="B16" s="10" t="s">
        <v>3</v>
      </c>
      <c r="C16" s="10" t="s">
        <v>4</v>
      </c>
      <c r="D16" s="11" t="s">
        <v>5</v>
      </c>
    </row>
    <row r="17" spans="1:9" ht="15.75">
      <c r="A17" s="12" t="s">
        <v>6</v>
      </c>
      <c r="B17" s="13">
        <f>VLOOKUP(A17, Tabelle9[], 2, FALSE)</f>
        <v>1</v>
      </c>
      <c r="C17" s="14"/>
      <c r="D17" s="15"/>
    </row>
    <row r="18" spans="1:9">
      <c r="A18" s="16" t="s">
        <v>7</v>
      </c>
      <c r="B18" s="69">
        <v>9</v>
      </c>
      <c r="C18" s="17" t="s">
        <v>8</v>
      </c>
      <c r="D18" s="15"/>
    </row>
    <row r="19" spans="1:9">
      <c r="A19" s="16" t="s">
        <v>86</v>
      </c>
      <c r="B19" s="69">
        <v>4</v>
      </c>
      <c r="C19" s="17" t="s">
        <v>9</v>
      </c>
      <c r="D19" s="26" t="s">
        <v>89</v>
      </c>
    </row>
    <row r="20" spans="1:9">
      <c r="A20" s="16" t="s">
        <v>87</v>
      </c>
      <c r="B20" s="69">
        <v>4.7</v>
      </c>
      <c r="C20" s="17" t="s">
        <v>9</v>
      </c>
      <c r="D20" s="26" t="s">
        <v>88</v>
      </c>
    </row>
    <row r="21" spans="1:9">
      <c r="A21" s="16" t="s">
        <v>10</v>
      </c>
      <c r="B21" s="69">
        <v>35</v>
      </c>
      <c r="C21" s="17" t="s">
        <v>11</v>
      </c>
      <c r="D21" s="15"/>
    </row>
    <row r="22" spans="1:9">
      <c r="A22" s="16"/>
      <c r="C22" s="17"/>
      <c r="D22" s="15"/>
    </row>
    <row r="23" spans="1:9" ht="15.75">
      <c r="A23" s="16" t="s">
        <v>12</v>
      </c>
      <c r="B23" s="18">
        <f>B18*B17*10^3</f>
        <v>9000</v>
      </c>
      <c r="C23" s="17" t="s">
        <v>13</v>
      </c>
      <c r="D23" s="19" t="str">
        <f>B18 &amp; " m * " &amp; B17 &amp; " * 10³ = " &amp; B18*B17*10^3 &amp; " mm"</f>
        <v>9 m * 1 * 10³ = 9000 mm</v>
      </c>
    </row>
    <row r="24" spans="1:9" ht="16.5" thickBot="1">
      <c r="A24" s="20" t="s">
        <v>14</v>
      </c>
      <c r="B24" s="21">
        <f>((B19*1.35)+(B20*1.5))*B21</f>
        <v>435.75000000000006</v>
      </c>
      <c r="C24" s="22" t="s">
        <v>15</v>
      </c>
      <c r="D24" s="23" t="str">
        <f>"(( " &amp; B19 &amp; " kN/m² * 1.35) + (" &amp; B20 &amp; " kN/m² * 1.5) ) * " &amp; B21 &amp; " m² = " &amp; ((B19*1.35)+(B20*1.5))*B21 &amp; " kN"</f>
        <v>(( 4 kN/m² * 1.35) + (4.7 kN/m² * 1.5) ) * 35 m² = 435.75 kN</v>
      </c>
    </row>
    <row r="25" spans="1:9" ht="15.75" thickBot="1"/>
    <row r="26" spans="1:9" ht="16.5" thickBot="1">
      <c r="A26" s="9" t="s">
        <v>16</v>
      </c>
      <c r="B26" s="10" t="s">
        <v>3</v>
      </c>
      <c r="C26" s="10" t="s">
        <v>4</v>
      </c>
      <c r="D26" s="10" t="s">
        <v>5</v>
      </c>
      <c r="E26" s="53" t="s">
        <v>84</v>
      </c>
      <c r="F26" s="54" t="s">
        <v>93</v>
      </c>
      <c r="G26" s="54" t="s">
        <v>90</v>
      </c>
      <c r="H26" s="54" t="s">
        <v>85</v>
      </c>
      <c r="I26" s="55" t="s">
        <v>91</v>
      </c>
    </row>
    <row r="27" spans="1:9" ht="15.75">
      <c r="A27" s="12" t="s">
        <v>78</v>
      </c>
      <c r="B27" s="24">
        <f>VLOOKUP(A27, Tabelle1[], 2, FALSE)</f>
        <v>60</v>
      </c>
      <c r="C27" s="25" t="s">
        <v>18</v>
      </c>
      <c r="D27" s="49" t="s">
        <v>19</v>
      </c>
      <c r="E27" s="56">
        <v>100</v>
      </c>
      <c r="F27" s="62">
        <v>640</v>
      </c>
      <c r="G27" s="63">
        <v>64000</v>
      </c>
      <c r="H27" s="63">
        <v>212.99199999999999</v>
      </c>
      <c r="I27" s="57">
        <v>3.3279999999999998E-3</v>
      </c>
    </row>
    <row r="28" spans="1:9">
      <c r="A28" s="12" t="s">
        <v>20</v>
      </c>
      <c r="C28" s="17"/>
      <c r="E28" s="56">
        <v>120</v>
      </c>
      <c r="F28" s="62">
        <v>360</v>
      </c>
      <c r="G28" s="64">
        <v>43200</v>
      </c>
      <c r="H28" s="64">
        <v>204.59519999999998</v>
      </c>
      <c r="I28" s="57">
        <v>4.7359999999999998E-3</v>
      </c>
    </row>
    <row r="29" spans="1:9" ht="15.75">
      <c r="A29" s="12" t="s">
        <v>21</v>
      </c>
      <c r="B29" s="13">
        <f>VLOOKUP(A29, Tabelle7[], 2, FALSE)</f>
        <v>1</v>
      </c>
      <c r="C29" s="27" t="s">
        <v>18</v>
      </c>
      <c r="D29" s="49" t="s">
        <v>19</v>
      </c>
      <c r="E29" s="56">
        <v>140</v>
      </c>
      <c r="F29" s="62">
        <v>240</v>
      </c>
      <c r="G29" s="64">
        <v>33600</v>
      </c>
      <c r="H29" s="64">
        <v>208.58879999999999</v>
      </c>
      <c r="I29" s="57">
        <v>6.208E-3</v>
      </c>
    </row>
    <row r="30" spans="1:9">
      <c r="A30" s="16" t="s">
        <v>22</v>
      </c>
      <c r="B30" s="28">
        <v>203.291</v>
      </c>
      <c r="C30" s="17" t="s">
        <v>15</v>
      </c>
      <c r="E30" s="56">
        <v>160</v>
      </c>
      <c r="F30" s="62">
        <v>200</v>
      </c>
      <c r="G30" s="64">
        <v>32000</v>
      </c>
      <c r="H30" s="64">
        <v>255.488</v>
      </c>
      <c r="I30" s="57">
        <v>7.9839999999999998E-3</v>
      </c>
    </row>
    <row r="31" spans="1:9">
      <c r="A31" s="16" t="s">
        <v>23</v>
      </c>
      <c r="B31" s="28">
        <v>3700</v>
      </c>
      <c r="C31" s="17" t="s">
        <v>13</v>
      </c>
      <c r="E31" s="56">
        <v>180</v>
      </c>
      <c r="F31" s="62">
        <v>200</v>
      </c>
      <c r="G31" s="64">
        <v>36000</v>
      </c>
      <c r="H31" s="64">
        <v>345.6</v>
      </c>
      <c r="I31" s="57">
        <v>9.6000000000000009E-3</v>
      </c>
    </row>
    <row r="32" spans="1:9" ht="15.75">
      <c r="A32" s="16" t="s">
        <v>24</v>
      </c>
      <c r="B32" s="18">
        <f>IF(ISNUMBER(B31), ROUND(B31/(150/SQRT(12)), 2), "")</f>
        <v>85.45</v>
      </c>
      <c r="C32" s="17" t="s">
        <v>13</v>
      </c>
      <c r="D32" s="50" t="str">
        <f>IF(ISNUMBER(B31), B31 &amp; " mm / (150 / √12) = " &amp; ROUND(B31 / (150 / SQRT(12)), 2) &amp; " mm", "")</f>
        <v>3700 mm / (150 / √12) = 85.45 mm</v>
      </c>
      <c r="E32" s="56">
        <v>200</v>
      </c>
      <c r="F32" s="62">
        <v>240</v>
      </c>
      <c r="G32" s="64">
        <v>48000</v>
      </c>
      <c r="H32" s="64">
        <v>538.36800000000005</v>
      </c>
      <c r="I32" s="57">
        <v>1.1216E-2</v>
      </c>
    </row>
    <row r="33" spans="1:9" ht="15.75">
      <c r="A33" s="16" t="s">
        <v>25</v>
      </c>
      <c r="B33" s="29">
        <f>VLOOKUP(A27, Tabelle1[], 3, FALSE)</f>
        <v>16</v>
      </c>
      <c r="C33" s="17" t="s">
        <v>26</v>
      </c>
      <c r="D33" s="49" t="s">
        <v>19</v>
      </c>
      <c r="E33" s="56">
        <v>220</v>
      </c>
      <c r="F33" s="62">
        <v>240</v>
      </c>
      <c r="G33" s="64">
        <v>52800</v>
      </c>
      <c r="H33" s="64">
        <v>662.32320000000004</v>
      </c>
      <c r="I33" s="57">
        <v>1.2544000000000001E-2</v>
      </c>
    </row>
    <row r="34" spans="1:9">
      <c r="A34" s="16" t="s">
        <v>27</v>
      </c>
      <c r="B34" s="30">
        <v>160</v>
      </c>
      <c r="C34" s="17" t="s">
        <v>13</v>
      </c>
      <c r="D34" s="49" t="str">
        <f>IF(B34&lt;B32, B34 &amp; " mm ist kleiner als die berechnete Mindesthöhe von " &amp; B32 &amp; " mm", "")</f>
        <v/>
      </c>
      <c r="E34" s="56">
        <v>240</v>
      </c>
      <c r="F34" s="62">
        <v>280</v>
      </c>
      <c r="G34" s="64">
        <v>67200</v>
      </c>
      <c r="H34" s="64">
        <v>904.24320000000012</v>
      </c>
      <c r="I34" s="57">
        <v>1.3456000000000001E-2</v>
      </c>
    </row>
    <row r="35" spans="1:9">
      <c r="A35" s="16"/>
      <c r="C35" s="17"/>
      <c r="E35" s="56">
        <v>260</v>
      </c>
      <c r="F35" s="62">
        <v>280</v>
      </c>
      <c r="G35" s="64">
        <v>72800</v>
      </c>
      <c r="H35" s="64">
        <v>1032.0128</v>
      </c>
      <c r="I35" s="57">
        <v>1.4175999999999999E-2</v>
      </c>
    </row>
    <row r="36" spans="1:9" ht="15.75">
      <c r="A36" s="16" t="s">
        <v>28</v>
      </c>
      <c r="B36" s="18">
        <f>ROUND(B34/SQRT(12),2)</f>
        <v>46.19</v>
      </c>
      <c r="C36" s="17" t="s">
        <v>13</v>
      </c>
      <c r="D36" s="50" t="str">
        <f>IF(ISNUMBER(B34), B34 &amp; " mm / √12 = " &amp; ROUND(B34 / SQRT(12), 2) &amp; " mm", "")</f>
        <v>160 mm / √12 = 46.19 mm</v>
      </c>
      <c r="E36" s="56">
        <v>280</v>
      </c>
      <c r="F36" s="62">
        <v>320</v>
      </c>
      <c r="G36" s="64">
        <v>89600</v>
      </c>
      <c r="H36" s="64">
        <v>1306.0096000000001</v>
      </c>
      <c r="I36" s="57">
        <v>1.4576E-2</v>
      </c>
    </row>
    <row r="37" spans="1:9" ht="15.75">
      <c r="A37" s="16" t="s">
        <v>29</v>
      </c>
      <c r="B37" s="18">
        <f>IF(AND(ISNUMBER(B31), ISNUMBER(B36), B36&lt;&gt;0), ROUND(B31/B36, 2), "")</f>
        <v>80.099999999999994</v>
      </c>
      <c r="C37" s="27" t="s">
        <v>18</v>
      </c>
      <c r="D37" s="50" t="str">
        <f>IF(AND(ISNUMBER(B31), ISNUMBER(B36), B36&lt;&gt;0), B31 &amp; " mm / " &amp; B36 &amp; " mm = " &amp; ROUND(B31/B36, 2), "")</f>
        <v>3700 mm / 46.19 mm = 80.1</v>
      </c>
      <c r="E37" s="56">
        <v>300</v>
      </c>
      <c r="F37" s="62">
        <v>320</v>
      </c>
      <c r="G37" s="64">
        <v>96000</v>
      </c>
      <c r="H37" s="64">
        <v>1420.8</v>
      </c>
      <c r="I37" s="57">
        <v>1.4799999999999999E-2</v>
      </c>
    </row>
    <row r="38" spans="1:9" ht="15.75">
      <c r="A38" s="16" t="s">
        <v>30</v>
      </c>
      <c r="B38" s="31">
        <f>IF(AND(ISNUMBER(B37), ISNUMBER(B27), B27&lt;&gt;0), ROUND(B37/B27, 2), "")</f>
        <v>1.34</v>
      </c>
      <c r="C38" s="27" t="s">
        <v>18</v>
      </c>
      <c r="D38" s="50" t="str">
        <f>IF(AND(ISNUMBER(B37), ISNUMBER(B27), B27&lt;&gt;0), B37 &amp; " / " &amp; B27 &amp; " = " &amp; ROUND(B37/B27, 2), "")</f>
        <v>80.1 / 60 = 1.34</v>
      </c>
      <c r="E38" s="56">
        <v>320</v>
      </c>
      <c r="F38" s="62">
        <v>360</v>
      </c>
      <c r="G38" s="64">
        <v>115200</v>
      </c>
      <c r="H38" s="64">
        <v>1727.0784000000001</v>
      </c>
      <c r="I38" s="57">
        <v>1.4992E-2</v>
      </c>
    </row>
    <row r="39" spans="1:9" ht="15.75">
      <c r="A39" s="16" t="s">
        <v>31</v>
      </c>
      <c r="B39" s="18" cm="1">
        <f t="array" ref="B39">IF(A28="Vollholz/Schnittholz",
    INDEX(KC_Vollholz!B2:B155, MATCH(TRUE, KC_Vollholz!A2:A155&gt;=B38, 0)),
    INDEX(KC_Brettschichtholz!B2:B154, MATCH(TRUE, KC_Brettschichtholz!A2:A154&gt;=B38, 0)))</f>
        <v>0.499</v>
      </c>
      <c r="C39" s="27" t="s">
        <v>18</v>
      </c>
      <c r="D39" s="49" t="s">
        <v>19</v>
      </c>
      <c r="E39" s="56">
        <v>340</v>
      </c>
      <c r="F39" s="62">
        <v>360</v>
      </c>
      <c r="G39" s="64">
        <v>122400</v>
      </c>
      <c r="H39" s="64">
        <v>1854.6047999999998</v>
      </c>
      <c r="I39" s="57">
        <v>1.5151999999999999E-2</v>
      </c>
    </row>
    <row r="40" spans="1:9" ht="15.75">
      <c r="A40" s="16" t="s">
        <v>32</v>
      </c>
      <c r="B40" s="18">
        <f>IF(AND(ISNUMBER(B30), ISNUMBER(B39), ISNUMBER(B33), ISNUMBER(B29), ISNUMBER(B34), B39&lt;&gt;0, B33&lt;&gt;0, B29&lt;&gt;0, B34&lt;&gt;0), ROUND((B30*10^3)/(B39*B33*B29*B34),2), "")</f>
        <v>159.13999999999999</v>
      </c>
      <c r="C40" s="17" t="s">
        <v>13</v>
      </c>
      <c r="D40" s="50" t="str">
        <f>IF(AND(ISNUMBER(B30), ISNUMBER(B39), ISNUMBER(B33), ISNUMBER(B29), ISNUMBER(B34), B39&lt;&gt;0, B33&lt;&gt;0, B29&lt;&gt;0, B34&lt;&gt;0), B30 &amp; "kN * 10³ / (" &amp; B39 &amp; " * " &amp; B33 &amp; " N/mm² * " &amp; B29 &amp; " * " &amp; B34 &amp; " mm) = " &amp; ROUND((B30*10^3)/(B39*B33*B29*B34), 2) &amp; " mm", "")</f>
        <v>203.291kN * 10³ / (0.499 * 16 N/mm² * 1 * 160 mm) = 159.14 mm</v>
      </c>
      <c r="E40" s="56">
        <v>360</v>
      </c>
      <c r="F40" s="62">
        <v>400</v>
      </c>
      <c r="G40" s="64">
        <v>144000</v>
      </c>
      <c r="H40" s="64">
        <v>2202.6239999999998</v>
      </c>
      <c r="I40" s="57">
        <v>1.5295999999999999E-2</v>
      </c>
    </row>
    <row r="41" spans="1:9">
      <c r="A41" s="16"/>
      <c r="C41" s="17"/>
      <c r="E41" s="56">
        <v>380</v>
      </c>
      <c r="F41" s="62">
        <v>400</v>
      </c>
      <c r="G41" s="64">
        <v>152000</v>
      </c>
      <c r="H41" s="64">
        <v>2344.4479999999999</v>
      </c>
      <c r="I41" s="57">
        <v>1.5423999999999998E-2</v>
      </c>
    </row>
    <row r="42" spans="1:9">
      <c r="A42" s="16" t="s">
        <v>33</v>
      </c>
      <c r="B42" s="28">
        <v>200</v>
      </c>
      <c r="C42" s="17" t="s">
        <v>13</v>
      </c>
      <c r="D42" s="51" t="str">
        <f>IF(B42&lt;B40, B42 &amp; " mm ist kleiner als die berechnete Mindesthöhe von " &amp; B40 &amp; " mm", "")</f>
        <v/>
      </c>
      <c r="E42" s="56"/>
      <c r="F42" s="62"/>
      <c r="G42" s="64"/>
      <c r="H42" s="64"/>
      <c r="I42" s="57"/>
    </row>
    <row r="43" spans="1:9" ht="15.75">
      <c r="A43" s="16" t="s">
        <v>34</v>
      </c>
      <c r="B43" s="18">
        <f>B39*B29*B33*B34*B42/1000</f>
        <v>255.488</v>
      </c>
      <c r="C43" s="17" t="s">
        <v>15</v>
      </c>
      <c r="D43" s="50" t="str">
        <f>IF(B39=0,""," ("&amp;B39&amp;" * "&amp;B29&amp;" * "&amp;ROUND(B33,3)&amp;" N/mm² * "&amp;ROUND(B34,3)&amp;" mm * "&amp;ROUND(B42,3)&amp;" mm ) / 10³ = "&amp;ROUND(B39*B33*B34*B42/1000,3)&amp;" kN")</f>
        <v xml:space="preserve"> (0.499 * 1 * 16 N/mm² * 160 mm * 200 mm ) / 10³ = 255.488 kN</v>
      </c>
      <c r="E43" s="56"/>
      <c r="F43" s="62"/>
      <c r="G43" s="64"/>
      <c r="H43" s="64"/>
      <c r="I43" s="57"/>
    </row>
    <row r="44" spans="1:9" ht="16.5" thickBot="1">
      <c r="A44" s="33" t="s">
        <v>35</v>
      </c>
      <c r="B44" s="21">
        <f>B39*B33*B34*B42/1000</f>
        <v>255.488</v>
      </c>
      <c r="C44" s="22" t="s">
        <v>15</v>
      </c>
      <c r="D44" s="52" t="str">
        <f>IF(B39=0, "", " (" &amp;B39&amp; " * " &amp; ROUND(B33, 3) &amp; " N/mm² * " &amp; ROUND(B34, 3) &amp; " mm * " &amp; ROUND(B42, 3) &amp; " mm ) / 10³ = " &amp; ROUND(B39 * B33 * B34 * B42 / 1000, 3) &amp; " kN")</f>
        <v xml:space="preserve"> (0.499 * 16 N/mm² * 160 mm * 200 mm ) / 10³ = 255.488 kN</v>
      </c>
      <c r="E44" s="56"/>
      <c r="F44" s="62"/>
      <c r="G44" s="64"/>
      <c r="H44" s="64"/>
      <c r="I44" s="57"/>
    </row>
    <row r="45" spans="1:9" ht="15.75">
      <c r="A45" s="34"/>
      <c r="B45" s="66" t="s">
        <v>92</v>
      </c>
      <c r="C45" s="35"/>
      <c r="D45" s="35"/>
      <c r="E45" s="56"/>
      <c r="F45" s="62"/>
      <c r="G45" s="64"/>
      <c r="H45" s="64"/>
      <c r="I45" s="57"/>
    </row>
    <row r="46" spans="1:9" ht="15.75">
      <c r="A46" s="36"/>
      <c r="B46" s="66" t="s">
        <v>83</v>
      </c>
      <c r="C46" s="37"/>
      <c r="D46" s="37"/>
      <c r="E46" s="56"/>
      <c r="F46" s="62"/>
      <c r="G46" s="64"/>
      <c r="H46" s="64"/>
      <c r="I46" s="57"/>
    </row>
    <row r="47" spans="1:9" ht="16.5" thickBot="1">
      <c r="A47" s="70" t="b">
        <v>0</v>
      </c>
      <c r="B47" s="67" t="s">
        <v>36</v>
      </c>
      <c r="C47" s="38"/>
      <c r="D47" s="38"/>
      <c r="E47" s="58"/>
      <c r="F47" s="59"/>
      <c r="G47" s="65"/>
      <c r="H47" s="65"/>
      <c r="I47" s="60"/>
    </row>
    <row r="48" spans="1:9" ht="15.75" thickBot="1">
      <c r="A48" s="39"/>
      <c r="B48" s="39"/>
      <c r="C48" s="39"/>
      <c r="D48" s="39"/>
      <c r="G48" s="61"/>
    </row>
    <row r="49" spans="1:8" ht="16.5" thickBot="1">
      <c r="A49" s="9" t="s">
        <v>37</v>
      </c>
      <c r="B49" s="10" t="s">
        <v>3</v>
      </c>
      <c r="C49" s="10" t="s">
        <v>4</v>
      </c>
      <c r="D49" s="11" t="s">
        <v>5</v>
      </c>
    </row>
    <row r="50" spans="1:8" ht="15.75">
      <c r="A50" s="40" t="s">
        <v>38</v>
      </c>
      <c r="B50" s="29">
        <f>VLOOKUP(A50, Tabelle1[], 2, FALSE)</f>
        <v>57</v>
      </c>
      <c r="C50" s="14"/>
      <c r="D50" s="26" t="s">
        <v>19</v>
      </c>
    </row>
    <row r="51" spans="1:8">
      <c r="A51" s="8" t="s">
        <v>39</v>
      </c>
      <c r="B51" s="40">
        <v>180</v>
      </c>
      <c r="C51" s="17" t="s">
        <v>13</v>
      </c>
      <c r="D51" s="15"/>
    </row>
    <row r="52" spans="1:8" ht="15.75">
      <c r="A52" s="40" t="s">
        <v>21</v>
      </c>
      <c r="B52" s="41">
        <f>VLOOKUP(A52, Tabelle7[], 2, FALSE)</f>
        <v>1</v>
      </c>
      <c r="C52" s="17"/>
      <c r="D52" s="26" t="s">
        <v>19</v>
      </c>
    </row>
    <row r="53" spans="1:8">
      <c r="A53" s="8" t="s">
        <v>22</v>
      </c>
      <c r="B53" s="40">
        <v>135</v>
      </c>
      <c r="C53" s="17" t="s">
        <v>15</v>
      </c>
      <c r="D53" s="15"/>
    </row>
    <row r="54" spans="1:8">
      <c r="A54" s="16" t="s">
        <v>23</v>
      </c>
      <c r="B54" s="40">
        <v>2700</v>
      </c>
      <c r="C54" s="17" t="s">
        <v>13</v>
      </c>
      <c r="D54" s="15"/>
    </row>
    <row r="55" spans="1:8" ht="15.75">
      <c r="A55" s="8" t="s">
        <v>40</v>
      </c>
      <c r="B55" s="31">
        <f>B51/4</f>
        <v>45</v>
      </c>
      <c r="C55" s="17" t="s">
        <v>13</v>
      </c>
      <c r="D55" s="15"/>
      <c r="H55" s="68"/>
    </row>
    <row r="56" spans="1:8" ht="15.75">
      <c r="A56" s="8" t="s">
        <v>41</v>
      </c>
      <c r="B56" s="29">
        <f>VLOOKUP(A50, Tabelle1[], 3, FALSE)</f>
        <v>12.4</v>
      </c>
      <c r="C56" s="17" t="s">
        <v>26</v>
      </c>
      <c r="D56" s="26" t="s">
        <v>19</v>
      </c>
    </row>
    <row r="57" spans="1:8">
      <c r="C57" s="17"/>
      <c r="D57" s="15"/>
    </row>
    <row r="58" spans="1:8" ht="15.75">
      <c r="A58" s="8" t="s">
        <v>42</v>
      </c>
      <c r="B58" s="31">
        <f>ROUND((B54)/(B55*B50),2)</f>
        <v>1.05</v>
      </c>
      <c r="C58" s="27" t="s">
        <v>18</v>
      </c>
      <c r="D58" s="19" t="str">
        <f>B54 &amp; " mm / (" &amp; B55 &amp; " * " &amp; B50 &amp; ") = " &amp; ROUND(B54/(B55*B50), 2)</f>
        <v>2700 mm / (45 * 57) = 1.05</v>
      </c>
    </row>
    <row r="59" spans="1:8" ht="15.75">
      <c r="A59" s="8" t="s">
        <v>43</v>
      </c>
      <c r="B59" s="18" cm="1">
        <f t="array" ref="B59">INDEX(KC_Vollholz!B2:B177,MATCH(TRUE,KC_Vollholz!A2:A177&gt;=B58,0))</f>
        <v>0.64500000000000002</v>
      </c>
      <c r="C59" s="27" t="s">
        <v>18</v>
      </c>
      <c r="D59" s="26" t="s">
        <v>19</v>
      </c>
    </row>
    <row r="60" spans="1:8" ht="15.75">
      <c r="A60" s="16" t="s">
        <v>44</v>
      </c>
      <c r="B60" s="18">
        <f>ROUND(B59*B52*B56*(B51/2)^2*PI()/1000,3)</f>
        <v>203.524</v>
      </c>
      <c r="C60" s="17" t="s">
        <v>15</v>
      </c>
      <c r="D60" s="19" t="str">
        <f>B59 &amp; " * " &amp; B52 &amp; " * " &amp; B56 &amp; " N/mm² * (" &amp; B51 &amp; " mm / 2)² * 3.14159 / 10³ = " &amp; ROUND(B59*B52*B56*(B51/2)^2*PI()/1000, 3) &amp; " kN"</f>
        <v>0.645 * 1 * 12.4 N/mm² * (180 mm / 2)² * 3.14159 / 10³ = 203.524 kN</v>
      </c>
    </row>
    <row r="61" spans="1:8" ht="16.5" thickBot="1">
      <c r="A61" s="42" t="str">
        <f>IF(B61&gt;1,"Durchmesser reicht NICHT!","Durchmesser OK")</f>
        <v>Durchmesser OK</v>
      </c>
      <c r="B61" s="21">
        <f>ROUND(B53/B60,2)</f>
        <v>0.66</v>
      </c>
      <c r="C61" s="22"/>
      <c r="D61" s="23" t="str">
        <f>B53 &amp; " kN / " &amp; B60 &amp; " kN = " &amp; ROUND(B53/B60, 2)</f>
        <v>135 kN / 203.524 kN = 0.66</v>
      </c>
    </row>
    <row r="62" spans="1:8" ht="15.75" thickBot="1"/>
    <row r="63" spans="1:8" ht="16.5" thickBot="1">
      <c r="A63" s="9" t="s">
        <v>45</v>
      </c>
      <c r="B63" s="43"/>
      <c r="C63" s="10" t="s">
        <v>3</v>
      </c>
      <c r="D63" s="11" t="s">
        <v>4</v>
      </c>
    </row>
    <row r="64" spans="1:8">
      <c r="A64" s="16" t="s">
        <v>46</v>
      </c>
      <c r="B64" s="8" t="s">
        <v>47</v>
      </c>
      <c r="C64" s="44">
        <v>2700</v>
      </c>
      <c r="D64" s="15" t="s">
        <v>13</v>
      </c>
    </row>
    <row r="65" spans="1:4">
      <c r="A65" s="16" t="s">
        <v>48</v>
      </c>
      <c r="B65" s="8" t="s">
        <v>49</v>
      </c>
      <c r="C65" s="40">
        <v>140</v>
      </c>
      <c r="D65" s="15" t="s">
        <v>13</v>
      </c>
    </row>
    <row r="66" spans="1:4">
      <c r="A66" s="16" t="s">
        <v>48</v>
      </c>
      <c r="B66" s="8" t="s">
        <v>50</v>
      </c>
      <c r="C66" s="40">
        <v>140</v>
      </c>
      <c r="D66" s="15" t="s">
        <v>13</v>
      </c>
    </row>
    <row r="67" spans="1:4" ht="15.75">
      <c r="A67" s="16"/>
      <c r="B67" s="8" t="s">
        <v>51</v>
      </c>
      <c r="C67" s="18">
        <f>C65/SQRT(12)</f>
        <v>40.414518843273804</v>
      </c>
      <c r="D67" s="15" t="s">
        <v>13</v>
      </c>
    </row>
    <row r="68" spans="1:4" ht="15.75">
      <c r="A68" s="16" t="s">
        <v>52</v>
      </c>
      <c r="B68" s="8" t="s">
        <v>53</v>
      </c>
      <c r="C68" s="18">
        <f>C64/C67</f>
        <v>66.807674006228126</v>
      </c>
      <c r="D68" s="32" t="s">
        <v>18</v>
      </c>
    </row>
    <row r="69" spans="1:4" ht="15.75">
      <c r="A69" s="45" t="s">
        <v>54</v>
      </c>
      <c r="C69" s="46"/>
      <c r="D69" s="15"/>
    </row>
    <row r="70" spans="1:4" ht="16.5" thickBot="1">
      <c r="A70" s="20" t="s">
        <v>55</v>
      </c>
      <c r="B70" s="47"/>
      <c r="C70" s="21">
        <f>ROUND(C64/(150/SQRT(12)),2)</f>
        <v>62.35</v>
      </c>
      <c r="D70" s="48" t="s">
        <v>13</v>
      </c>
    </row>
  </sheetData>
  <sheetProtection algorithmName="SHA-512" hashValue="s8WoV5H1SQWt/l6DdwID6Gu6bCQqX+t3eUYVAqlmLxK46R6FkIs+SYtTfCCaQSmZbDHexCO8TozAy1Yks0BIPg==" saltValue="YhwxCNb7gP/UcWeKxAtU0g==" spinCount="100000" sheet="1" objects="1" scenarios="1" selectLockedCells="1"/>
  <conditionalFormatting sqref="A61">
    <cfRule type="expression" dxfId="35" priority="15">
      <formula>$B$61&lt;1</formula>
    </cfRule>
  </conditionalFormatting>
  <conditionalFormatting sqref="A61:B61">
    <cfRule type="expression" dxfId="34" priority="10" stopIfTrue="1">
      <formula>$B$61&gt;=1</formula>
    </cfRule>
    <cfRule type="expression" dxfId="33" priority="16" stopIfTrue="1">
      <formula>$B$61&lt;=1</formula>
    </cfRule>
  </conditionalFormatting>
  <conditionalFormatting sqref="B34">
    <cfRule type="expression" dxfId="32" priority="18">
      <formula>$B$34&lt;$B$32</formula>
    </cfRule>
  </conditionalFormatting>
  <conditionalFormatting sqref="B42">
    <cfRule type="expression" dxfId="31" priority="9">
      <formula>$B$42&lt;$B$40</formula>
    </cfRule>
  </conditionalFormatting>
  <conditionalFormatting sqref="B43">
    <cfRule type="expression" dxfId="30" priority="11" stopIfTrue="1">
      <formula>$B$43&lt;=$B$30</formula>
    </cfRule>
    <cfRule type="expression" dxfId="29" priority="12">
      <formula>$B$43&gt;=$B$30</formula>
    </cfRule>
  </conditionalFormatting>
  <conditionalFormatting sqref="D34">
    <cfRule type="expression" dxfId="28" priority="7">
      <formula>$B$34&lt;$B$32</formula>
    </cfRule>
  </conditionalFormatting>
  <conditionalFormatting sqref="D42">
    <cfRule type="expression" dxfId="27" priority="8">
      <formula>$B$42&lt;$B$40</formula>
    </cfRule>
  </conditionalFormatting>
  <conditionalFormatting sqref="A28">
    <cfRule type="expression" dxfId="26" priority="1">
      <formula>OR(AND(ISERROR(SEARCH("GL",A27)),A28="Brettschichtholz"),AND(NOT(ISERROR(SEARCH("GL",A27))),A28&lt;&gt;"Brettschichtholz"))</formula>
    </cfRule>
  </conditionalFormatting>
  <hyperlinks>
    <hyperlink ref="D1" r:id="rId1" xr:uid="{8EBB3C5D-7808-244D-B169-09E786F78A44}"/>
  </hyperlinks>
  <pageMargins left="0.7" right="0.7" top="0.78740157499999996" bottom="0.78740157499999996" header="0.3" footer="0.3"/>
  <pageSetup paperSize="9"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OptimaleStuetzeFinden">
                <anchor moveWithCells="1">
                  <from>
                    <xdr:col>0</xdr:col>
                    <xdr:colOff>180975</xdr:colOff>
                    <xdr:row>44</xdr:row>
                    <xdr:rowOff>38100</xdr:rowOff>
                  </from>
                  <to>
                    <xdr:col>0</xdr:col>
                    <xdr:colOff>2828925</xdr:colOff>
                    <xdr:row>45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Check Box 13">
              <controlPr defaultSize="0" autoFill="0" autoLine="0" autoPict="0" altText="Quadratische Stützen erlauben">
                <anchor moveWithCells="1">
                  <from>
                    <xdr:col>0</xdr:col>
                    <xdr:colOff>123825</xdr:colOff>
                    <xdr:row>45</xdr:row>
                    <xdr:rowOff>123825</xdr:rowOff>
                  </from>
                  <to>
                    <xdr:col>0</xdr:col>
                    <xdr:colOff>2752725</xdr:colOff>
                    <xdr:row>47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A8CE6C0-B912-8C43-B792-2518A472F454}">
          <x14:formula1>
            <xm:f>Holz!$A$3:$A$12</xm:f>
          </x14:formula1>
          <xm:sqref>A27 A50</xm:sqref>
        </x14:dataValidation>
        <x14:dataValidation type="list" allowBlank="1" showInputMessage="1" showErrorMessage="1" xr:uid="{845ECE77-52F4-EE4F-99C8-D2EF2AA3C5C9}">
          <x14:formula1>
            <xm:f>'C24_Rundholz'!$A$2:$A$17</xm:f>
          </x14:formula1>
          <xm:sqref>B51</xm:sqref>
        </x14:dataValidation>
        <x14:dataValidation type="list" allowBlank="1" showInputMessage="1" showErrorMessage="1" xr:uid="{843F606C-C1F8-8640-8050-5D90C0CEBD12}">
          <x14:formula1>
            <xm:f>Witterung!$A$2:$A$4</xm:f>
          </x14:formula1>
          <xm:sqref>A52 A29</xm:sqref>
        </x14:dataValidation>
        <x14:dataValidation type="list" allowBlank="1" showInputMessage="1" showErrorMessage="1" xr:uid="{868FF5A7-237A-AA41-B5B9-766534935159}">
          <x14:formula1>
            <xm:f>Holztyp!$A$2:$A$3</xm:f>
          </x14:formula1>
          <xm:sqref>A28</xm:sqref>
        </x14:dataValidation>
        <x14:dataValidation type="list" allowBlank="1" showInputMessage="1" showErrorMessage="1" xr:uid="{0903B63E-EFB5-0942-8EE2-F46456959D9C}">
          <x14:formula1>
            <xm:f>Knickfall!$A$2:$A$5</xm:f>
          </x14:formula1>
          <xm:sqref>A17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04B0-C2C7-6F4B-A4DA-FE635CF879B2}">
  <sheetPr codeName="Tabelle5"/>
  <dimension ref="A1:B5"/>
  <sheetViews>
    <sheetView workbookViewId="0">
      <selection activeCell="C20" sqref="C20"/>
    </sheetView>
  </sheetViews>
  <sheetFormatPr baseColWidth="10" defaultColWidth="11" defaultRowHeight="15"/>
  <cols>
    <col min="1" max="1" width="34.77734375" bestFit="1" customWidth="1"/>
  </cols>
  <sheetData>
    <row r="1" spans="1:2">
      <c r="A1" t="s">
        <v>2</v>
      </c>
      <c r="B1" t="s">
        <v>56</v>
      </c>
    </row>
    <row r="2" spans="1:2">
      <c r="A2" t="s">
        <v>57</v>
      </c>
      <c r="B2">
        <v>2</v>
      </c>
    </row>
    <row r="3" spans="1:2">
      <c r="A3" t="s">
        <v>6</v>
      </c>
      <c r="B3">
        <v>1</v>
      </c>
    </row>
    <row r="4" spans="1:2">
      <c r="A4" t="s">
        <v>58</v>
      </c>
      <c r="B4">
        <v>0.7</v>
      </c>
    </row>
    <row r="5" spans="1:2">
      <c r="A5" t="s">
        <v>59</v>
      </c>
      <c r="B5">
        <v>0.5</v>
      </c>
    </row>
  </sheetData>
  <sheetProtection algorithmName="SHA-512" hashValue="AWF9LnMXJblDCJgexDpfwkVauRP2Gc0N05Bf48ZoIZlRN7bYjtQR2NVlQNz0Yn2GfhgkZHqZtPlbH5gfW3e+gw==" saltValue="79KAy18xcZLLT55GlvjTY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3684-BF39-8641-9521-1E26BA9317BA}">
  <sheetPr codeName="Tabelle2"/>
  <dimension ref="A1:B4"/>
  <sheetViews>
    <sheetView zoomScale="111" workbookViewId="0">
      <selection activeCell="C20" sqref="C20"/>
    </sheetView>
  </sheetViews>
  <sheetFormatPr baseColWidth="10" defaultColWidth="10.77734375" defaultRowHeight="15"/>
  <cols>
    <col min="1" max="1" width="44.77734375" style="2" bestFit="1" customWidth="1"/>
    <col min="2" max="16384" width="10.77734375" style="2"/>
  </cols>
  <sheetData>
    <row r="1" spans="1:2">
      <c r="A1" s="2" t="s">
        <v>60</v>
      </c>
      <c r="B1" s="2" t="s">
        <v>3</v>
      </c>
    </row>
    <row r="2" spans="1:2">
      <c r="A2" s="2" t="s">
        <v>21</v>
      </c>
      <c r="B2" s="3">
        <v>1</v>
      </c>
    </row>
    <row r="3" spans="1:2">
      <c r="A3" s="2" t="s">
        <v>61</v>
      </c>
      <c r="B3" s="3">
        <v>0.8</v>
      </c>
    </row>
    <row r="4" spans="1:2">
      <c r="A4" s="2" t="s">
        <v>62</v>
      </c>
      <c r="B4" s="3">
        <v>0.6</v>
      </c>
    </row>
  </sheetData>
  <sheetProtection algorithmName="SHA-512" hashValue="KY0n+k69HKUTBa8pjiDqgmw/NLW3a1X0BsQqSn4p+jv0z8H9kRGFqVy9R7Z1eR+iwxJMYnR0Ks3yg95qfQcK8A==" saltValue="Qkdc6DpngGUyup6JJyLDj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6FE9-529D-224E-8D27-EE0C03DB46A4}">
  <sheetPr codeName="Tabelle3"/>
  <dimension ref="A1:B141"/>
  <sheetViews>
    <sheetView topLeftCell="A123" workbookViewId="0">
      <selection activeCell="C20" sqref="C20"/>
    </sheetView>
  </sheetViews>
  <sheetFormatPr baseColWidth="10" defaultColWidth="11" defaultRowHeight="15"/>
  <sheetData>
    <row r="1" spans="1:2">
      <c r="A1" s="1" t="s">
        <v>3</v>
      </c>
      <c r="B1" s="1" t="s">
        <v>63</v>
      </c>
    </row>
    <row r="2" spans="1:2">
      <c r="A2">
        <v>0.3</v>
      </c>
      <c r="B2">
        <v>1</v>
      </c>
    </row>
    <row r="3" spans="1:2">
      <c r="A3">
        <v>0.32</v>
      </c>
      <c r="B3">
        <v>0.996</v>
      </c>
    </row>
    <row r="4" spans="1:2">
      <c r="A4">
        <v>0.34</v>
      </c>
      <c r="B4">
        <v>0.99099999999999999</v>
      </c>
    </row>
    <row r="5" spans="1:2">
      <c r="A5">
        <v>0.36</v>
      </c>
      <c r="B5">
        <v>0.98599999999999999</v>
      </c>
    </row>
    <row r="6" spans="1:2">
      <c r="A6">
        <v>0.38000000000000012</v>
      </c>
      <c r="B6">
        <v>0.98199999999999998</v>
      </c>
    </row>
    <row r="7" spans="1:2">
      <c r="A7">
        <v>0.40000000000000008</v>
      </c>
      <c r="B7">
        <v>0.97699999999999998</v>
      </c>
    </row>
    <row r="8" spans="1:2">
      <c r="A8">
        <v>0.4200000000000001</v>
      </c>
      <c r="B8">
        <v>0.97199999999999998</v>
      </c>
    </row>
    <row r="9" spans="1:2">
      <c r="A9">
        <v>0.44000000000000011</v>
      </c>
      <c r="B9">
        <v>0.96699999999999997</v>
      </c>
    </row>
    <row r="10" spans="1:2">
      <c r="A10">
        <v>0.46000000000000008</v>
      </c>
      <c r="B10">
        <v>0.96099999999999997</v>
      </c>
    </row>
    <row r="11" spans="1:2">
      <c r="A11">
        <v>0.48000000000000009</v>
      </c>
      <c r="B11">
        <v>0.95599999999999996</v>
      </c>
    </row>
    <row r="12" spans="1:2">
      <c r="A12">
        <v>0.50000000000000022</v>
      </c>
      <c r="B12">
        <v>0.95</v>
      </c>
    </row>
    <row r="13" spans="1:2">
      <c r="A13">
        <v>0.52000000000000024</v>
      </c>
      <c r="B13">
        <v>0.94399999999999995</v>
      </c>
    </row>
    <row r="14" spans="1:2">
      <c r="A14">
        <v>0.54000000000000026</v>
      </c>
      <c r="B14">
        <v>0.93799999999999994</v>
      </c>
    </row>
    <row r="15" spans="1:2">
      <c r="A15">
        <v>0.56000000000000028</v>
      </c>
      <c r="B15">
        <v>0.93200000000000005</v>
      </c>
    </row>
    <row r="16" spans="1:2">
      <c r="A16">
        <v>0.58000000000000029</v>
      </c>
      <c r="B16">
        <v>0.92500000000000004</v>
      </c>
    </row>
    <row r="17" spans="1:2">
      <c r="A17">
        <v>0.60000000000000031</v>
      </c>
      <c r="B17">
        <v>0.91800000000000004</v>
      </c>
    </row>
    <row r="18" spans="1:2">
      <c r="A18">
        <v>0.62000000000000033</v>
      </c>
      <c r="B18">
        <v>0.91</v>
      </c>
    </row>
    <row r="19" spans="1:2">
      <c r="A19">
        <v>0.64000000000000035</v>
      </c>
      <c r="B19">
        <v>0.90300000000000002</v>
      </c>
    </row>
    <row r="20" spans="1:2">
      <c r="A20">
        <v>0.66000000000000036</v>
      </c>
      <c r="B20">
        <v>0.89400000000000002</v>
      </c>
    </row>
    <row r="21" spans="1:2">
      <c r="A21">
        <v>0.68000000000000038</v>
      </c>
      <c r="B21">
        <v>0.88600000000000001</v>
      </c>
    </row>
    <row r="22" spans="1:2">
      <c r="A22">
        <v>0.7000000000000004</v>
      </c>
      <c r="B22">
        <v>0.877</v>
      </c>
    </row>
    <row r="23" spans="1:2">
      <c r="A23">
        <v>0.72000000000000042</v>
      </c>
      <c r="B23">
        <v>0.86799999999999999</v>
      </c>
    </row>
    <row r="24" spans="1:2">
      <c r="A24">
        <v>0.74000000000000044</v>
      </c>
      <c r="B24">
        <v>0.85799999999999998</v>
      </c>
    </row>
    <row r="25" spans="1:2">
      <c r="A25">
        <v>0.76000000000000045</v>
      </c>
      <c r="B25">
        <v>0.84699999999999998</v>
      </c>
    </row>
    <row r="26" spans="1:2">
      <c r="A26">
        <v>0.78000000000000047</v>
      </c>
      <c r="B26">
        <v>0.83599999999999997</v>
      </c>
    </row>
    <row r="27" spans="1:2">
      <c r="A27">
        <v>0.80000000000000049</v>
      </c>
      <c r="B27">
        <v>0.82499999999999996</v>
      </c>
    </row>
    <row r="28" spans="1:2">
      <c r="A28">
        <v>0.82000000000000051</v>
      </c>
      <c r="B28">
        <v>0.81299999999999994</v>
      </c>
    </row>
    <row r="29" spans="1:2">
      <c r="A29">
        <v>0.84000000000000052</v>
      </c>
      <c r="B29">
        <v>0.80100000000000005</v>
      </c>
    </row>
    <row r="30" spans="1:2">
      <c r="A30">
        <v>0.86000000000000054</v>
      </c>
      <c r="B30">
        <v>0.78800000000000003</v>
      </c>
    </row>
    <row r="31" spans="1:2">
      <c r="A31">
        <v>0.88000000000000056</v>
      </c>
      <c r="B31">
        <v>0.77500000000000002</v>
      </c>
    </row>
    <row r="32" spans="1:2">
      <c r="A32">
        <v>0.90000000000000058</v>
      </c>
      <c r="B32">
        <v>0.76200000000000001</v>
      </c>
    </row>
    <row r="33" spans="1:2">
      <c r="A33">
        <v>0.9200000000000006</v>
      </c>
      <c r="B33">
        <v>0.748</v>
      </c>
    </row>
    <row r="34" spans="1:2">
      <c r="A34">
        <v>0.94000000000000061</v>
      </c>
      <c r="B34">
        <v>0.73299999999999998</v>
      </c>
    </row>
    <row r="35" spans="1:2">
      <c r="A35">
        <v>0.96000000000000063</v>
      </c>
      <c r="B35">
        <v>0.71899999999999997</v>
      </c>
    </row>
    <row r="36" spans="1:2">
      <c r="A36">
        <v>0.98000000000000065</v>
      </c>
      <c r="B36">
        <v>0.70399999999999996</v>
      </c>
    </row>
    <row r="37" spans="1:2">
      <c r="A37">
        <v>1.0000000000000011</v>
      </c>
      <c r="B37">
        <v>0.68899999999999995</v>
      </c>
    </row>
    <row r="38" spans="1:2">
      <c r="A38">
        <v>1.0200000000000009</v>
      </c>
      <c r="B38">
        <v>0.67400000000000004</v>
      </c>
    </row>
    <row r="39" spans="1:2">
      <c r="A39">
        <v>1.0400000000000009</v>
      </c>
      <c r="B39">
        <v>0.66</v>
      </c>
    </row>
    <row r="40" spans="1:2">
      <c r="A40">
        <v>1.0600000000000009</v>
      </c>
      <c r="B40">
        <v>0.64500000000000002</v>
      </c>
    </row>
    <row r="41" spans="1:2">
      <c r="A41">
        <v>1.080000000000001</v>
      </c>
      <c r="B41">
        <v>0.63</v>
      </c>
    </row>
    <row r="42" spans="1:2">
      <c r="A42">
        <v>1.100000000000001</v>
      </c>
      <c r="B42">
        <v>0.61499999999999999</v>
      </c>
    </row>
    <row r="43" spans="1:2">
      <c r="A43">
        <v>1.120000000000001</v>
      </c>
      <c r="B43">
        <v>0.60099999999999998</v>
      </c>
    </row>
    <row r="44" spans="1:2">
      <c r="A44">
        <v>1.140000000000001</v>
      </c>
      <c r="B44">
        <v>0.58599999999999997</v>
      </c>
    </row>
    <row r="45" spans="1:2">
      <c r="A45">
        <v>1.160000000000001</v>
      </c>
      <c r="B45">
        <v>0.57199999999999995</v>
      </c>
    </row>
    <row r="46" spans="1:2">
      <c r="A46">
        <v>1.180000000000001</v>
      </c>
      <c r="B46">
        <v>0.55800000000000005</v>
      </c>
    </row>
    <row r="47" spans="1:2">
      <c r="A47">
        <v>1.2000000000000011</v>
      </c>
      <c r="B47">
        <v>0.54500000000000004</v>
      </c>
    </row>
    <row r="48" spans="1:2">
      <c r="A48">
        <v>1.2200000000000011</v>
      </c>
      <c r="B48">
        <v>0.53200000000000003</v>
      </c>
    </row>
    <row r="49" spans="1:2">
      <c r="A49">
        <v>1.2400000000000011</v>
      </c>
      <c r="B49">
        <v>0.51900000000000002</v>
      </c>
    </row>
    <row r="50" spans="1:2">
      <c r="A50">
        <v>1.2600000000000009</v>
      </c>
      <c r="B50">
        <v>0.50600000000000001</v>
      </c>
    </row>
    <row r="51" spans="1:2">
      <c r="A51">
        <v>1.2800000000000009</v>
      </c>
      <c r="B51">
        <v>0.49399999999999999</v>
      </c>
    </row>
    <row r="52" spans="1:2">
      <c r="A52">
        <v>1.3000000000000009</v>
      </c>
      <c r="B52">
        <v>0.48099999999999998</v>
      </c>
    </row>
    <row r="53" spans="1:2">
      <c r="A53">
        <v>1.320000000000001</v>
      </c>
      <c r="B53">
        <v>0.47</v>
      </c>
    </row>
    <row r="54" spans="1:2">
      <c r="A54">
        <v>1.340000000000001</v>
      </c>
      <c r="B54">
        <v>0.45900000000000002</v>
      </c>
    </row>
    <row r="55" spans="1:2">
      <c r="A55">
        <v>1.360000000000001</v>
      </c>
      <c r="B55">
        <v>0.44800000000000001</v>
      </c>
    </row>
    <row r="56" spans="1:2">
      <c r="A56">
        <v>1.380000000000001</v>
      </c>
      <c r="B56">
        <v>0.437</v>
      </c>
    </row>
    <row r="57" spans="1:2">
      <c r="A57">
        <v>1.400000000000001</v>
      </c>
      <c r="B57">
        <v>0.42699999999999999</v>
      </c>
    </row>
    <row r="58" spans="1:2">
      <c r="A58">
        <v>1.420000000000001</v>
      </c>
      <c r="B58">
        <v>0.41699999999999998</v>
      </c>
    </row>
    <row r="59" spans="1:2">
      <c r="A59">
        <v>1.4400000000000011</v>
      </c>
      <c r="B59">
        <v>0.40699999999999997</v>
      </c>
    </row>
    <row r="60" spans="1:2">
      <c r="A60">
        <v>1.4600000000000011</v>
      </c>
      <c r="B60">
        <v>0.39700000000000002</v>
      </c>
    </row>
    <row r="61" spans="1:2">
      <c r="A61">
        <v>1.4800000000000011</v>
      </c>
      <c r="B61">
        <v>0.38800000000000001</v>
      </c>
    </row>
    <row r="62" spans="1:2">
      <c r="A62">
        <v>1.5000000000000011</v>
      </c>
      <c r="B62">
        <v>0.379</v>
      </c>
    </row>
    <row r="63" spans="1:2">
      <c r="A63">
        <v>1.5200000000000009</v>
      </c>
      <c r="B63">
        <v>0.371</v>
      </c>
    </row>
    <row r="64" spans="1:2">
      <c r="A64">
        <v>1.5400000000000009</v>
      </c>
      <c r="B64">
        <v>0.36199999999999999</v>
      </c>
    </row>
    <row r="65" spans="1:2">
      <c r="A65">
        <v>1.5600000000000009</v>
      </c>
      <c r="B65">
        <v>0.35399999999999998</v>
      </c>
    </row>
    <row r="66" spans="1:2">
      <c r="A66">
        <v>1.580000000000001</v>
      </c>
      <c r="B66">
        <v>0.34599999999999997</v>
      </c>
    </row>
    <row r="67" spans="1:2">
      <c r="A67">
        <v>1.600000000000001</v>
      </c>
      <c r="B67">
        <v>0.33900000000000002</v>
      </c>
    </row>
    <row r="68" spans="1:2">
      <c r="A68">
        <v>1.620000000000001</v>
      </c>
      <c r="B68">
        <v>0.33100000000000002</v>
      </c>
    </row>
    <row r="69" spans="1:2">
      <c r="A69">
        <v>1.640000000000001</v>
      </c>
      <c r="B69">
        <v>0.32400000000000001</v>
      </c>
    </row>
    <row r="70" spans="1:2">
      <c r="A70">
        <v>1.660000000000001</v>
      </c>
      <c r="B70">
        <v>0.317</v>
      </c>
    </row>
    <row r="71" spans="1:2">
      <c r="A71">
        <v>1.680000000000001</v>
      </c>
      <c r="B71">
        <v>0.31</v>
      </c>
    </row>
    <row r="72" spans="1:2">
      <c r="A72">
        <v>1.7000000000000011</v>
      </c>
      <c r="B72">
        <v>0.30399999999999999</v>
      </c>
    </row>
    <row r="73" spans="1:2">
      <c r="A73">
        <v>1.7200000000000011</v>
      </c>
      <c r="B73">
        <v>0.29699999999999999</v>
      </c>
    </row>
    <row r="74" spans="1:2">
      <c r="A74">
        <v>1.7400000000000011</v>
      </c>
      <c r="B74">
        <v>0.29099999999999998</v>
      </c>
    </row>
    <row r="75" spans="1:2">
      <c r="A75">
        <v>1.7600000000000009</v>
      </c>
      <c r="B75">
        <v>0.28499999999999998</v>
      </c>
    </row>
    <row r="76" spans="1:2">
      <c r="A76">
        <v>1.7800000000000009</v>
      </c>
      <c r="B76">
        <v>0.27900000000000003</v>
      </c>
    </row>
    <row r="77" spans="1:2">
      <c r="A77">
        <v>1.8000000000000009</v>
      </c>
      <c r="B77">
        <v>0.27400000000000002</v>
      </c>
    </row>
    <row r="78" spans="1:2">
      <c r="A78">
        <v>1.820000000000001</v>
      </c>
      <c r="B78">
        <v>0.26800000000000002</v>
      </c>
    </row>
    <row r="79" spans="1:2">
      <c r="A79">
        <v>1.840000000000001</v>
      </c>
      <c r="B79">
        <v>0.26300000000000001</v>
      </c>
    </row>
    <row r="80" spans="1:2">
      <c r="A80">
        <v>1.860000000000001</v>
      </c>
      <c r="B80">
        <v>0.25800000000000001</v>
      </c>
    </row>
    <row r="81" spans="1:2">
      <c r="A81">
        <v>1.880000000000001</v>
      </c>
      <c r="B81">
        <v>0.253</v>
      </c>
    </row>
    <row r="82" spans="1:2">
      <c r="A82">
        <v>1.900000000000001</v>
      </c>
      <c r="B82">
        <v>0.248</v>
      </c>
    </row>
    <row r="83" spans="1:2">
      <c r="A83">
        <v>1.920000000000001</v>
      </c>
      <c r="B83">
        <v>0.24299999999999999</v>
      </c>
    </row>
    <row r="84" spans="1:2">
      <c r="A84">
        <v>1.9400000000000019</v>
      </c>
      <c r="B84">
        <v>0.23799999999999999</v>
      </c>
    </row>
    <row r="85" spans="1:2">
      <c r="A85">
        <v>1.960000000000002</v>
      </c>
      <c r="B85">
        <v>0.23400000000000001</v>
      </c>
    </row>
    <row r="86" spans="1:2">
      <c r="A86">
        <v>1.980000000000002</v>
      </c>
      <c r="B86">
        <v>0.23</v>
      </c>
    </row>
    <row r="87" spans="1:2">
      <c r="A87">
        <v>2.0000000000000009</v>
      </c>
      <c r="B87">
        <v>0.22500000000000001</v>
      </c>
    </row>
    <row r="88" spans="1:2">
      <c r="A88">
        <v>2.0200000000000009</v>
      </c>
      <c r="B88">
        <v>0.221</v>
      </c>
    </row>
    <row r="89" spans="1:2">
      <c r="A89">
        <v>2.0400000000000009</v>
      </c>
      <c r="B89">
        <v>0.217</v>
      </c>
    </row>
    <row r="90" spans="1:2">
      <c r="A90">
        <v>2.0600000000000009</v>
      </c>
      <c r="B90">
        <v>0.21299999999999999</v>
      </c>
    </row>
    <row r="91" spans="1:2">
      <c r="A91">
        <v>2.080000000000001</v>
      </c>
      <c r="B91">
        <v>0.20899999999999999</v>
      </c>
    </row>
    <row r="92" spans="1:2">
      <c r="A92">
        <v>2.100000000000001</v>
      </c>
      <c r="B92">
        <v>0.20599999999999999</v>
      </c>
    </row>
    <row r="93" spans="1:2">
      <c r="A93">
        <v>2.120000000000001</v>
      </c>
      <c r="B93">
        <v>0.20200000000000001</v>
      </c>
    </row>
    <row r="94" spans="1:2">
      <c r="A94">
        <v>2.140000000000001</v>
      </c>
      <c r="B94">
        <v>0.19800000000000001</v>
      </c>
    </row>
    <row r="95" spans="1:2">
      <c r="A95">
        <v>2.160000000000001</v>
      </c>
      <c r="B95">
        <v>0.19500000000000001</v>
      </c>
    </row>
    <row r="96" spans="1:2">
      <c r="A96">
        <v>2.180000000000001</v>
      </c>
      <c r="B96">
        <v>0.192</v>
      </c>
    </row>
    <row r="97" spans="1:2">
      <c r="A97">
        <v>2.200000000000002</v>
      </c>
      <c r="B97">
        <v>0.188</v>
      </c>
    </row>
    <row r="98" spans="1:2">
      <c r="A98">
        <v>2.220000000000002</v>
      </c>
      <c r="B98">
        <v>0.185</v>
      </c>
    </row>
    <row r="99" spans="1:2">
      <c r="A99">
        <v>2.240000000000002</v>
      </c>
      <c r="B99">
        <v>0.182</v>
      </c>
    </row>
    <row r="100" spans="1:2">
      <c r="A100">
        <v>2.260000000000002</v>
      </c>
      <c r="B100">
        <v>0.17899999999999999</v>
      </c>
    </row>
    <row r="101" spans="1:2">
      <c r="A101">
        <v>2.280000000000002</v>
      </c>
      <c r="B101">
        <v>0.17599999999999999</v>
      </c>
    </row>
    <row r="102" spans="1:2">
      <c r="A102">
        <v>2.300000000000002</v>
      </c>
      <c r="B102">
        <v>0.17299999999999999</v>
      </c>
    </row>
    <row r="103" spans="1:2">
      <c r="A103">
        <v>2.3200000000000021</v>
      </c>
      <c r="B103">
        <v>0.17</v>
      </c>
    </row>
    <row r="104" spans="1:2">
      <c r="A104">
        <v>2.3400000000000021</v>
      </c>
      <c r="B104">
        <v>0.16800000000000001</v>
      </c>
    </row>
    <row r="105" spans="1:2">
      <c r="A105">
        <v>2.3600000000000021</v>
      </c>
      <c r="B105">
        <v>0.16500000000000001</v>
      </c>
    </row>
    <row r="106" spans="1:2">
      <c r="A106">
        <v>2.3800000000000021</v>
      </c>
      <c r="B106">
        <v>0.16200000000000001</v>
      </c>
    </row>
    <row r="107" spans="1:2">
      <c r="A107">
        <v>2.4000000000000021</v>
      </c>
      <c r="B107">
        <v>0.16</v>
      </c>
    </row>
    <row r="108" spans="1:2">
      <c r="A108">
        <v>2.4200000000000021</v>
      </c>
      <c r="B108">
        <v>0.157</v>
      </c>
    </row>
    <row r="109" spans="1:2">
      <c r="A109">
        <v>2.4400000000000022</v>
      </c>
      <c r="B109">
        <v>0.155</v>
      </c>
    </row>
    <row r="110" spans="1:2">
      <c r="A110">
        <v>2.4600000000000022</v>
      </c>
      <c r="B110">
        <v>0.152</v>
      </c>
    </row>
    <row r="111" spans="1:2">
      <c r="A111">
        <v>2.4800000000000022</v>
      </c>
      <c r="B111">
        <v>0.15</v>
      </c>
    </row>
    <row r="112" spans="1:2">
      <c r="A112">
        <v>2.5000000000000022</v>
      </c>
      <c r="B112">
        <v>0.14799999999999999</v>
      </c>
    </row>
    <row r="113" spans="1:2">
      <c r="A113">
        <v>2.5200000000000018</v>
      </c>
      <c r="B113">
        <v>0.14599999999999999</v>
      </c>
    </row>
    <row r="114" spans="1:2">
      <c r="A114">
        <v>2.5400000000000018</v>
      </c>
      <c r="B114">
        <v>0.14299999999999999</v>
      </c>
    </row>
    <row r="115" spans="1:2">
      <c r="A115">
        <v>2.5600000000000018</v>
      </c>
      <c r="B115">
        <v>0.14099999999999999</v>
      </c>
    </row>
    <row r="116" spans="1:2">
      <c r="A116">
        <v>2.5800000000000018</v>
      </c>
      <c r="B116">
        <v>0.13900000000000001</v>
      </c>
    </row>
    <row r="117" spans="1:2">
      <c r="A117">
        <v>2.6000000000000019</v>
      </c>
      <c r="B117">
        <v>0.13700000000000001</v>
      </c>
    </row>
    <row r="118" spans="1:2">
      <c r="A118">
        <v>2.6200000000000019</v>
      </c>
      <c r="B118">
        <v>0.13500000000000001</v>
      </c>
    </row>
    <row r="119" spans="1:2">
      <c r="A119">
        <v>2.6400000000000019</v>
      </c>
      <c r="B119">
        <v>0.13300000000000001</v>
      </c>
    </row>
    <row r="120" spans="1:2">
      <c r="A120">
        <v>2.6600000000000019</v>
      </c>
      <c r="B120">
        <v>0.13100000000000001</v>
      </c>
    </row>
    <row r="121" spans="1:2">
      <c r="A121">
        <v>2.6800000000000019</v>
      </c>
      <c r="B121">
        <v>0.129</v>
      </c>
    </row>
    <row r="122" spans="1:2">
      <c r="A122">
        <v>2.700000000000002</v>
      </c>
      <c r="B122">
        <v>0.128</v>
      </c>
    </row>
    <row r="123" spans="1:2">
      <c r="A123">
        <v>2.720000000000002</v>
      </c>
      <c r="B123">
        <v>0.126</v>
      </c>
    </row>
    <row r="124" spans="1:2">
      <c r="A124">
        <v>2.740000000000002</v>
      </c>
      <c r="B124">
        <v>0.124</v>
      </c>
    </row>
    <row r="125" spans="1:2">
      <c r="A125">
        <v>2.760000000000002</v>
      </c>
      <c r="B125">
        <v>0.122</v>
      </c>
    </row>
    <row r="126" spans="1:2">
      <c r="A126">
        <v>2.780000000000002</v>
      </c>
      <c r="B126">
        <v>0.121</v>
      </c>
    </row>
    <row r="127" spans="1:2">
      <c r="A127">
        <v>2.800000000000002</v>
      </c>
      <c r="B127">
        <v>0.11899999999999999</v>
      </c>
    </row>
    <row r="128" spans="1:2">
      <c r="A128">
        <v>2.8200000000000021</v>
      </c>
      <c r="B128">
        <v>0.11700000000000001</v>
      </c>
    </row>
    <row r="129" spans="1:2">
      <c r="A129">
        <v>2.8400000000000021</v>
      </c>
      <c r="B129">
        <v>0.11600000000000001</v>
      </c>
    </row>
    <row r="130" spans="1:2">
      <c r="A130">
        <v>2.8600000000000021</v>
      </c>
      <c r="B130">
        <v>0.114</v>
      </c>
    </row>
    <row r="131" spans="1:2">
      <c r="A131">
        <v>2.8800000000000021</v>
      </c>
      <c r="B131">
        <v>0.113</v>
      </c>
    </row>
    <row r="132" spans="1:2">
      <c r="A132">
        <v>2.9000000000000021</v>
      </c>
      <c r="B132">
        <v>0.111</v>
      </c>
    </row>
    <row r="133" spans="1:2">
      <c r="A133">
        <v>2.9200000000000021</v>
      </c>
      <c r="B133">
        <v>0.11</v>
      </c>
    </row>
    <row r="134" spans="1:2">
      <c r="A134">
        <v>2.9400000000000022</v>
      </c>
      <c r="B134">
        <v>0.108</v>
      </c>
    </row>
    <row r="135" spans="1:2">
      <c r="A135">
        <v>2.9600000000000022</v>
      </c>
      <c r="B135">
        <v>0.107</v>
      </c>
    </row>
    <row r="136" spans="1:2">
      <c r="A136">
        <v>2.9800000000000022</v>
      </c>
      <c r="B136">
        <v>0.105</v>
      </c>
    </row>
    <row r="137" spans="1:2">
      <c r="A137">
        <v>3.0000000000000022</v>
      </c>
      <c r="B137">
        <v>0.104</v>
      </c>
    </row>
    <row r="138" spans="1:2">
      <c r="A138">
        <v>3.0200000000000018</v>
      </c>
      <c r="B138">
        <v>0.10299999999999999</v>
      </c>
    </row>
    <row r="139" spans="1:2">
      <c r="A139">
        <v>3.0400000000000018</v>
      </c>
      <c r="B139">
        <v>0.10199999999999999</v>
      </c>
    </row>
    <row r="140" spans="1:2">
      <c r="A140">
        <v>3.0600000000000018</v>
      </c>
      <c r="B140">
        <v>0.1</v>
      </c>
    </row>
    <row r="141" spans="1:2">
      <c r="A141">
        <v>3.0800000000000018</v>
      </c>
      <c r="B141">
        <v>9.9000000000000005E-2</v>
      </c>
    </row>
  </sheetData>
  <sheetProtection algorithmName="SHA-512" hashValue="pmirvr1gFT/OLu1OIRqh6X0YR4HQi8UhLB0/Q5xo5l+duc5amsm2vJZA7cVq8JpctUZuWj0ax0JcwmfdKOnJ1Q==" saltValue="o70qERFjkdHEUN0nBxBzCw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4676-21FF-F849-B3B5-8DFA186A78A3}">
  <sheetPr codeName="Tabelle4"/>
  <dimension ref="A1:B141"/>
  <sheetViews>
    <sheetView workbookViewId="0">
      <selection activeCell="C20" sqref="C20"/>
    </sheetView>
  </sheetViews>
  <sheetFormatPr baseColWidth="10" defaultColWidth="10.77734375" defaultRowHeight="15"/>
  <cols>
    <col min="1" max="1" width="10" style="2" bestFit="1" customWidth="1"/>
    <col min="2" max="2" width="12.77734375" style="2" bestFit="1" customWidth="1"/>
    <col min="3" max="16384" width="10.77734375" style="2"/>
  </cols>
  <sheetData>
    <row r="1" spans="1:2">
      <c r="A1" s="1" t="s">
        <v>3</v>
      </c>
      <c r="B1" s="1" t="s">
        <v>63</v>
      </c>
    </row>
    <row r="2" spans="1:2">
      <c r="A2">
        <v>0.3</v>
      </c>
      <c r="B2">
        <v>1</v>
      </c>
    </row>
    <row r="3" spans="1:2">
      <c r="A3">
        <v>0.32</v>
      </c>
      <c r="B3">
        <v>0.998</v>
      </c>
    </row>
    <row r="4" spans="1:2">
      <c r="A4">
        <v>0.34</v>
      </c>
      <c r="B4">
        <v>0.996</v>
      </c>
    </row>
    <row r="5" spans="1:2">
      <c r="A5">
        <v>0.36</v>
      </c>
      <c r="B5">
        <v>0.99299999999999999</v>
      </c>
    </row>
    <row r="6" spans="1:2">
      <c r="A6">
        <v>0.38000000000000012</v>
      </c>
      <c r="B6">
        <v>0.99099999999999999</v>
      </c>
    </row>
    <row r="7" spans="1:2">
      <c r="A7">
        <v>0.40000000000000008</v>
      </c>
      <c r="B7">
        <v>0.98799999999999999</v>
      </c>
    </row>
    <row r="8" spans="1:2">
      <c r="A8">
        <v>0.4200000000000001</v>
      </c>
      <c r="B8">
        <v>0.98599999999999999</v>
      </c>
    </row>
    <row r="9" spans="1:2">
      <c r="A9">
        <v>0.44000000000000011</v>
      </c>
      <c r="B9">
        <v>0.98299999999999998</v>
      </c>
    </row>
    <row r="10" spans="1:2">
      <c r="A10">
        <v>0.46000000000000008</v>
      </c>
      <c r="B10">
        <v>0.98</v>
      </c>
    </row>
    <row r="11" spans="1:2">
      <c r="A11">
        <v>0.48000000000000009</v>
      </c>
      <c r="B11">
        <v>0.97699999999999998</v>
      </c>
    </row>
    <row r="12" spans="1:2">
      <c r="A12">
        <v>0.50000000000000022</v>
      </c>
      <c r="B12">
        <v>0.97399999999999998</v>
      </c>
    </row>
    <row r="13" spans="1:2">
      <c r="A13">
        <v>0.52000000000000024</v>
      </c>
      <c r="B13">
        <v>0.97099999999999997</v>
      </c>
    </row>
    <row r="14" spans="1:2">
      <c r="A14">
        <v>0.54000000000000026</v>
      </c>
      <c r="B14">
        <v>0.96799999999999997</v>
      </c>
    </row>
    <row r="15" spans="1:2">
      <c r="A15">
        <v>0.56000000000000028</v>
      </c>
      <c r="B15">
        <v>0.96399999999999997</v>
      </c>
    </row>
    <row r="16" spans="1:2">
      <c r="A16">
        <v>0.58000000000000029</v>
      </c>
      <c r="B16">
        <v>0.96</v>
      </c>
    </row>
    <row r="17" spans="1:2">
      <c r="A17">
        <v>0.60000000000000031</v>
      </c>
      <c r="B17">
        <v>0.95599999999999996</v>
      </c>
    </row>
    <row r="18" spans="1:2">
      <c r="A18">
        <v>0.62000000000000033</v>
      </c>
      <c r="B18">
        <v>0.95199999999999996</v>
      </c>
    </row>
    <row r="19" spans="1:2">
      <c r="A19">
        <v>0.64000000000000035</v>
      </c>
      <c r="B19">
        <v>0.94699999999999995</v>
      </c>
    </row>
    <row r="20" spans="1:2">
      <c r="A20">
        <v>0.66000000000000036</v>
      </c>
      <c r="B20">
        <v>0.94199999999999995</v>
      </c>
    </row>
    <row r="21" spans="1:2">
      <c r="A21">
        <v>0.68000000000000038</v>
      </c>
      <c r="B21">
        <v>0.93700000000000006</v>
      </c>
    </row>
    <row r="22" spans="1:2">
      <c r="A22">
        <v>0.7000000000000004</v>
      </c>
      <c r="B22">
        <v>0.93100000000000005</v>
      </c>
    </row>
    <row r="23" spans="1:2">
      <c r="A23">
        <v>0.72000000000000042</v>
      </c>
      <c r="B23">
        <v>0.92500000000000004</v>
      </c>
    </row>
    <row r="24" spans="1:2">
      <c r="A24">
        <v>0.74000000000000044</v>
      </c>
      <c r="B24">
        <v>0.91900000000000004</v>
      </c>
    </row>
    <row r="25" spans="1:2">
      <c r="A25">
        <v>0.76000000000000045</v>
      </c>
      <c r="B25">
        <v>0.91100000000000003</v>
      </c>
    </row>
    <row r="26" spans="1:2">
      <c r="A26">
        <v>0.78000000000000047</v>
      </c>
      <c r="B26">
        <v>0.90400000000000003</v>
      </c>
    </row>
    <row r="27" spans="1:2">
      <c r="A27">
        <v>0.80000000000000049</v>
      </c>
      <c r="B27">
        <v>0.89500000000000002</v>
      </c>
    </row>
    <row r="28" spans="1:2">
      <c r="A28">
        <v>0.82000000000000051</v>
      </c>
      <c r="B28">
        <v>0.88600000000000001</v>
      </c>
    </row>
    <row r="29" spans="1:2">
      <c r="A29">
        <v>0.84000000000000052</v>
      </c>
      <c r="B29">
        <v>0.876</v>
      </c>
    </row>
    <row r="30" spans="1:2">
      <c r="A30">
        <v>0.86000000000000054</v>
      </c>
      <c r="B30">
        <v>0.86499999999999999</v>
      </c>
    </row>
    <row r="31" spans="1:2">
      <c r="A31">
        <v>0.88000000000000056</v>
      </c>
      <c r="B31">
        <v>0.85399999999999998</v>
      </c>
    </row>
    <row r="32" spans="1:2">
      <c r="A32">
        <v>0.90000000000000058</v>
      </c>
      <c r="B32">
        <v>0.84099999999999997</v>
      </c>
    </row>
    <row r="33" spans="1:2">
      <c r="A33">
        <v>0.9200000000000006</v>
      </c>
      <c r="B33">
        <v>0.82799999999999996</v>
      </c>
    </row>
    <row r="34" spans="1:2">
      <c r="A34">
        <v>0.94000000000000061</v>
      </c>
      <c r="B34">
        <v>0.81399999999999995</v>
      </c>
    </row>
    <row r="35" spans="1:2">
      <c r="A35">
        <v>0.96000000000000063</v>
      </c>
      <c r="B35">
        <v>0.8</v>
      </c>
    </row>
    <row r="36" spans="1:2">
      <c r="A36">
        <v>0.98000000000000065</v>
      </c>
      <c r="B36">
        <v>0.78400000000000003</v>
      </c>
    </row>
    <row r="37" spans="1:2">
      <c r="A37">
        <v>1.0000000000000011</v>
      </c>
      <c r="B37">
        <v>0.76800000000000002</v>
      </c>
    </row>
    <row r="38" spans="1:2">
      <c r="A38">
        <v>1.0200000000000009</v>
      </c>
      <c r="B38">
        <v>0.752</v>
      </c>
    </row>
    <row r="39" spans="1:2">
      <c r="A39">
        <v>1.0400000000000009</v>
      </c>
      <c r="B39">
        <v>0.73499999999999999</v>
      </c>
    </row>
    <row r="40" spans="1:2">
      <c r="A40">
        <v>1.0600000000000009</v>
      </c>
      <c r="B40">
        <v>0.71799999999999997</v>
      </c>
    </row>
    <row r="41" spans="1:2">
      <c r="A41">
        <v>1.080000000000001</v>
      </c>
      <c r="B41">
        <v>0.70099999999999996</v>
      </c>
    </row>
    <row r="42" spans="1:2">
      <c r="A42">
        <v>1.100000000000001</v>
      </c>
      <c r="B42">
        <v>0.68400000000000005</v>
      </c>
    </row>
    <row r="43" spans="1:2">
      <c r="A43">
        <v>1.120000000000001</v>
      </c>
      <c r="B43">
        <v>0.66700000000000004</v>
      </c>
    </row>
    <row r="44" spans="1:2">
      <c r="A44">
        <v>1.140000000000001</v>
      </c>
      <c r="B44">
        <v>0.65</v>
      </c>
    </row>
    <row r="45" spans="1:2">
      <c r="A45">
        <v>1.160000000000001</v>
      </c>
      <c r="B45">
        <v>0.63300000000000001</v>
      </c>
    </row>
    <row r="46" spans="1:2">
      <c r="A46">
        <v>1.180000000000001</v>
      </c>
      <c r="B46">
        <v>0.61699999999999999</v>
      </c>
    </row>
    <row r="47" spans="1:2">
      <c r="A47">
        <v>1.2000000000000011</v>
      </c>
      <c r="B47">
        <v>0.6</v>
      </c>
    </row>
    <row r="48" spans="1:2">
      <c r="A48">
        <v>1.2200000000000011</v>
      </c>
      <c r="B48">
        <v>0.58499999999999996</v>
      </c>
    </row>
    <row r="49" spans="1:2">
      <c r="A49">
        <v>1.2400000000000011</v>
      </c>
      <c r="B49">
        <v>0.56899999999999995</v>
      </c>
    </row>
    <row r="50" spans="1:2">
      <c r="A50">
        <v>1.2600000000000009</v>
      </c>
      <c r="B50">
        <v>0.55500000000000005</v>
      </c>
    </row>
    <row r="51" spans="1:2">
      <c r="A51">
        <v>1.2800000000000009</v>
      </c>
      <c r="B51">
        <v>0.54</v>
      </c>
    </row>
    <row r="52" spans="1:2">
      <c r="A52">
        <v>1.3000000000000009</v>
      </c>
      <c r="B52">
        <v>0.52600000000000002</v>
      </c>
    </row>
    <row r="53" spans="1:2">
      <c r="A53">
        <v>1.320000000000001</v>
      </c>
      <c r="B53">
        <v>0.51200000000000001</v>
      </c>
    </row>
    <row r="54" spans="1:2">
      <c r="A54">
        <v>1.340000000000001</v>
      </c>
      <c r="B54">
        <v>0.499</v>
      </c>
    </row>
    <row r="55" spans="1:2">
      <c r="A55">
        <v>1.360000000000001</v>
      </c>
      <c r="B55">
        <v>0.48599999999999999</v>
      </c>
    </row>
    <row r="56" spans="1:2">
      <c r="A56">
        <v>1.380000000000001</v>
      </c>
      <c r="B56">
        <v>0.47399999999999998</v>
      </c>
    </row>
    <row r="57" spans="1:2">
      <c r="A57">
        <v>1.400000000000001</v>
      </c>
      <c r="B57">
        <v>0.46200000000000002</v>
      </c>
    </row>
    <row r="58" spans="1:2">
      <c r="A58">
        <v>1.420000000000001</v>
      </c>
      <c r="B58">
        <v>0.45</v>
      </c>
    </row>
    <row r="59" spans="1:2">
      <c r="A59">
        <v>1.4400000000000011</v>
      </c>
      <c r="B59">
        <v>0.439</v>
      </c>
    </row>
    <row r="60" spans="1:2">
      <c r="A60">
        <v>1.4600000000000011</v>
      </c>
      <c r="B60">
        <v>0.42799999999999999</v>
      </c>
    </row>
    <row r="61" spans="1:2">
      <c r="A61">
        <v>1.4800000000000011</v>
      </c>
      <c r="B61">
        <v>0.41799999999999998</v>
      </c>
    </row>
    <row r="62" spans="1:2">
      <c r="A62">
        <v>1.5000000000000011</v>
      </c>
      <c r="B62">
        <v>0.40799999999999997</v>
      </c>
    </row>
    <row r="63" spans="1:2">
      <c r="A63">
        <v>1.5200000000000009</v>
      </c>
      <c r="B63">
        <v>0.39800000000000002</v>
      </c>
    </row>
    <row r="64" spans="1:2">
      <c r="A64">
        <v>1.5400000000000009</v>
      </c>
      <c r="B64">
        <v>0.38800000000000001</v>
      </c>
    </row>
    <row r="65" spans="1:2">
      <c r="A65">
        <v>1.5600000000000009</v>
      </c>
      <c r="B65">
        <v>0.379</v>
      </c>
    </row>
    <row r="66" spans="1:2">
      <c r="A66">
        <v>1.580000000000001</v>
      </c>
      <c r="B66">
        <v>0.37</v>
      </c>
    </row>
    <row r="67" spans="1:2">
      <c r="A67">
        <v>1.600000000000001</v>
      </c>
      <c r="B67">
        <v>0.36199999999999999</v>
      </c>
    </row>
    <row r="68" spans="1:2">
      <c r="A68">
        <v>1.620000000000001</v>
      </c>
      <c r="B68">
        <v>0.35399999999999998</v>
      </c>
    </row>
    <row r="69" spans="1:2">
      <c r="A69">
        <v>1.640000000000001</v>
      </c>
      <c r="B69">
        <v>0.34599999999999997</v>
      </c>
    </row>
    <row r="70" spans="1:2">
      <c r="A70">
        <v>1.660000000000001</v>
      </c>
      <c r="B70">
        <v>0.33800000000000002</v>
      </c>
    </row>
    <row r="71" spans="1:2">
      <c r="A71">
        <v>1.680000000000001</v>
      </c>
      <c r="B71">
        <v>0.33</v>
      </c>
    </row>
    <row r="72" spans="1:2">
      <c r="A72">
        <v>1.7000000000000011</v>
      </c>
      <c r="B72">
        <v>0.32300000000000001</v>
      </c>
    </row>
    <row r="73" spans="1:2">
      <c r="A73">
        <v>1.7200000000000011</v>
      </c>
      <c r="B73">
        <v>0.316</v>
      </c>
    </row>
    <row r="74" spans="1:2">
      <c r="A74">
        <v>1.7400000000000011</v>
      </c>
      <c r="B74">
        <v>0.309</v>
      </c>
    </row>
    <row r="75" spans="1:2">
      <c r="A75">
        <v>1.7600000000000009</v>
      </c>
      <c r="B75">
        <v>0.30199999999999999</v>
      </c>
    </row>
    <row r="76" spans="1:2">
      <c r="A76">
        <v>1.7800000000000009</v>
      </c>
      <c r="B76">
        <v>0.29599999999999999</v>
      </c>
    </row>
    <row r="77" spans="1:2">
      <c r="A77">
        <v>1.8000000000000009</v>
      </c>
      <c r="B77">
        <v>0.28999999999999998</v>
      </c>
    </row>
    <row r="78" spans="1:2">
      <c r="A78">
        <v>1.820000000000001</v>
      </c>
      <c r="B78">
        <v>0.28399999999999997</v>
      </c>
    </row>
    <row r="79" spans="1:2">
      <c r="A79">
        <v>1.840000000000001</v>
      </c>
      <c r="B79">
        <v>0.27800000000000002</v>
      </c>
    </row>
    <row r="80" spans="1:2">
      <c r="A80">
        <v>1.860000000000001</v>
      </c>
      <c r="B80">
        <v>0.27200000000000002</v>
      </c>
    </row>
    <row r="81" spans="1:2">
      <c r="A81">
        <v>1.880000000000001</v>
      </c>
      <c r="B81">
        <v>0.26700000000000002</v>
      </c>
    </row>
    <row r="82" spans="1:2">
      <c r="A82">
        <v>1.900000000000001</v>
      </c>
      <c r="B82">
        <v>0.26100000000000001</v>
      </c>
    </row>
    <row r="83" spans="1:2">
      <c r="A83">
        <v>1.920000000000001</v>
      </c>
      <c r="B83">
        <v>0.25600000000000001</v>
      </c>
    </row>
    <row r="84" spans="1:2">
      <c r="A84">
        <v>1.9400000000000019</v>
      </c>
      <c r="B84">
        <v>0.251</v>
      </c>
    </row>
    <row r="85" spans="1:2">
      <c r="A85">
        <v>1.960000000000002</v>
      </c>
      <c r="B85">
        <v>0.246</v>
      </c>
    </row>
    <row r="86" spans="1:2">
      <c r="A86">
        <v>1.980000000000002</v>
      </c>
      <c r="B86">
        <v>0.24099999999999999</v>
      </c>
    </row>
    <row r="87" spans="1:2">
      <c r="A87">
        <v>2.0000000000000009</v>
      </c>
      <c r="B87">
        <v>0.23699999999999999</v>
      </c>
    </row>
    <row r="88" spans="1:2">
      <c r="A88">
        <v>2.0200000000000009</v>
      </c>
      <c r="B88">
        <v>0.23200000000000001</v>
      </c>
    </row>
    <row r="89" spans="1:2">
      <c r="A89">
        <v>2.0400000000000009</v>
      </c>
      <c r="B89">
        <v>0.22800000000000001</v>
      </c>
    </row>
    <row r="90" spans="1:2">
      <c r="A90">
        <v>2.0600000000000009</v>
      </c>
      <c r="B90">
        <v>0.224</v>
      </c>
    </row>
    <row r="91" spans="1:2">
      <c r="A91">
        <v>2.080000000000001</v>
      </c>
      <c r="B91">
        <v>0.22</v>
      </c>
    </row>
    <row r="92" spans="1:2">
      <c r="A92">
        <v>2.100000000000001</v>
      </c>
      <c r="B92">
        <v>0.216</v>
      </c>
    </row>
    <row r="93" spans="1:2">
      <c r="A93">
        <v>2.120000000000001</v>
      </c>
      <c r="B93">
        <v>0.21199999999999999</v>
      </c>
    </row>
    <row r="94" spans="1:2">
      <c r="A94">
        <v>2.140000000000001</v>
      </c>
      <c r="B94">
        <v>0.20799999999999999</v>
      </c>
    </row>
    <row r="95" spans="1:2">
      <c r="A95">
        <v>2.160000000000001</v>
      </c>
      <c r="B95">
        <v>0.20399999999999999</v>
      </c>
    </row>
    <row r="96" spans="1:2">
      <c r="A96">
        <v>2.180000000000001</v>
      </c>
      <c r="B96">
        <v>0.2</v>
      </c>
    </row>
    <row r="97" spans="1:2">
      <c r="A97">
        <v>2.200000000000002</v>
      </c>
      <c r="B97">
        <v>0.19700000000000001</v>
      </c>
    </row>
    <row r="98" spans="1:2">
      <c r="A98">
        <v>2.220000000000002</v>
      </c>
      <c r="B98">
        <v>0.19400000000000001</v>
      </c>
    </row>
    <row r="99" spans="1:2">
      <c r="A99">
        <v>2.240000000000002</v>
      </c>
      <c r="B99">
        <v>0.19</v>
      </c>
    </row>
    <row r="100" spans="1:2">
      <c r="A100">
        <v>2.260000000000002</v>
      </c>
      <c r="B100">
        <v>0.187</v>
      </c>
    </row>
    <row r="101" spans="1:2">
      <c r="A101">
        <v>2.280000000000002</v>
      </c>
      <c r="B101">
        <v>0.184</v>
      </c>
    </row>
    <row r="102" spans="1:2">
      <c r="A102">
        <v>2.300000000000002</v>
      </c>
      <c r="B102">
        <v>0.18099999999999999</v>
      </c>
    </row>
    <row r="103" spans="1:2">
      <c r="A103">
        <v>2.3200000000000021</v>
      </c>
      <c r="B103">
        <v>0.17799999999999999</v>
      </c>
    </row>
    <row r="104" spans="1:2">
      <c r="A104">
        <v>2.3400000000000021</v>
      </c>
      <c r="B104">
        <v>0.17499999999999999</v>
      </c>
    </row>
    <row r="105" spans="1:2">
      <c r="A105">
        <v>2.3600000000000021</v>
      </c>
      <c r="B105">
        <v>0.17199999999999999</v>
      </c>
    </row>
    <row r="106" spans="1:2">
      <c r="A106">
        <v>2.3800000000000021</v>
      </c>
      <c r="B106">
        <v>0.16900000000000001</v>
      </c>
    </row>
    <row r="107" spans="1:2">
      <c r="A107">
        <v>2.4000000000000021</v>
      </c>
      <c r="B107">
        <v>0.16600000000000001</v>
      </c>
    </row>
    <row r="108" spans="1:2">
      <c r="A108">
        <v>2.4200000000000021</v>
      </c>
      <c r="B108">
        <v>0.16400000000000001</v>
      </c>
    </row>
    <row r="109" spans="1:2">
      <c r="A109">
        <v>2.4400000000000022</v>
      </c>
      <c r="B109">
        <v>0.161</v>
      </c>
    </row>
    <row r="110" spans="1:2">
      <c r="A110">
        <v>2.4600000000000022</v>
      </c>
      <c r="B110">
        <v>0.159</v>
      </c>
    </row>
    <row r="111" spans="1:2">
      <c r="A111">
        <v>2.4800000000000022</v>
      </c>
      <c r="B111">
        <v>0.156</v>
      </c>
    </row>
    <row r="112" spans="1:2">
      <c r="A112">
        <v>2.5000000000000022</v>
      </c>
      <c r="B112">
        <v>0.154</v>
      </c>
    </row>
    <row r="113" spans="1:2">
      <c r="A113">
        <v>2.5200000000000018</v>
      </c>
      <c r="B113">
        <v>0.151</v>
      </c>
    </row>
    <row r="114" spans="1:2">
      <c r="A114">
        <v>2.5400000000000018</v>
      </c>
      <c r="B114">
        <v>0.14899999999999999</v>
      </c>
    </row>
    <row r="115" spans="1:2">
      <c r="A115">
        <v>2.5600000000000018</v>
      </c>
      <c r="B115">
        <v>0.14699999999999999</v>
      </c>
    </row>
    <row r="116" spans="1:2">
      <c r="A116">
        <v>2.5800000000000018</v>
      </c>
      <c r="B116">
        <v>0.14399999999999999</v>
      </c>
    </row>
    <row r="117" spans="1:2">
      <c r="A117">
        <v>2.6000000000000019</v>
      </c>
      <c r="B117">
        <v>0.14199999999999999</v>
      </c>
    </row>
    <row r="118" spans="1:2">
      <c r="A118">
        <v>2.6200000000000019</v>
      </c>
      <c r="B118">
        <v>0.14000000000000001</v>
      </c>
    </row>
    <row r="119" spans="1:2">
      <c r="A119">
        <v>2.6400000000000019</v>
      </c>
      <c r="B119">
        <v>0.13800000000000001</v>
      </c>
    </row>
    <row r="120" spans="1:2">
      <c r="A120">
        <v>2.6600000000000019</v>
      </c>
      <c r="B120">
        <v>0.13600000000000001</v>
      </c>
    </row>
    <row r="121" spans="1:2">
      <c r="A121">
        <v>2.6800000000000019</v>
      </c>
      <c r="B121">
        <v>0.13400000000000001</v>
      </c>
    </row>
    <row r="122" spans="1:2">
      <c r="A122">
        <v>2.700000000000002</v>
      </c>
      <c r="B122">
        <v>0.13200000000000001</v>
      </c>
    </row>
    <row r="123" spans="1:2">
      <c r="A123">
        <v>2.720000000000002</v>
      </c>
      <c r="B123">
        <v>0.13</v>
      </c>
    </row>
    <row r="124" spans="1:2">
      <c r="A124">
        <v>2.740000000000002</v>
      </c>
      <c r="B124">
        <v>0.128</v>
      </c>
    </row>
    <row r="125" spans="1:2">
      <c r="A125">
        <v>2.760000000000002</v>
      </c>
      <c r="B125">
        <v>0.127</v>
      </c>
    </row>
    <row r="126" spans="1:2">
      <c r="A126">
        <v>2.780000000000002</v>
      </c>
      <c r="B126">
        <v>0.125</v>
      </c>
    </row>
    <row r="127" spans="1:2">
      <c r="A127">
        <v>2.800000000000002</v>
      </c>
      <c r="B127">
        <v>0.123</v>
      </c>
    </row>
    <row r="128" spans="1:2">
      <c r="A128">
        <v>2.8200000000000021</v>
      </c>
      <c r="B128">
        <v>0.121</v>
      </c>
    </row>
    <row r="129" spans="1:2">
      <c r="A129">
        <v>2.8400000000000021</v>
      </c>
      <c r="B129">
        <v>0.12</v>
      </c>
    </row>
    <row r="130" spans="1:2">
      <c r="A130">
        <v>2.8600000000000021</v>
      </c>
      <c r="B130">
        <v>0.11799999999999999</v>
      </c>
    </row>
    <row r="131" spans="1:2">
      <c r="A131">
        <v>2.8800000000000021</v>
      </c>
      <c r="B131">
        <v>0.11600000000000001</v>
      </c>
    </row>
    <row r="132" spans="1:2">
      <c r="A132">
        <v>2.9000000000000021</v>
      </c>
      <c r="B132">
        <v>0.115</v>
      </c>
    </row>
    <row r="133" spans="1:2">
      <c r="A133">
        <v>2.9200000000000021</v>
      </c>
      <c r="B133">
        <v>0.113</v>
      </c>
    </row>
    <row r="134" spans="1:2">
      <c r="A134">
        <v>2.9400000000000022</v>
      </c>
      <c r="B134">
        <v>0.112</v>
      </c>
    </row>
    <row r="135" spans="1:2">
      <c r="A135">
        <v>2.9600000000000022</v>
      </c>
      <c r="B135">
        <v>0.11</v>
      </c>
    </row>
    <row r="136" spans="1:2">
      <c r="A136">
        <v>2.9800000000000022</v>
      </c>
      <c r="B136">
        <v>0.109</v>
      </c>
    </row>
    <row r="137" spans="1:2">
      <c r="A137">
        <v>3.0000000000000022</v>
      </c>
      <c r="B137">
        <v>0.107</v>
      </c>
    </row>
    <row r="138" spans="1:2">
      <c r="A138">
        <v>3.0200000000000018</v>
      </c>
      <c r="B138">
        <v>0.106</v>
      </c>
    </row>
    <row r="139" spans="1:2">
      <c r="A139">
        <v>3.0400000000000018</v>
      </c>
      <c r="B139">
        <v>0.105</v>
      </c>
    </row>
    <row r="140" spans="1:2">
      <c r="A140">
        <v>3.0600000000000018</v>
      </c>
      <c r="B140">
        <v>0.10299999999999999</v>
      </c>
    </row>
    <row r="141" spans="1:2">
      <c r="A141">
        <v>3.0800000000000018</v>
      </c>
      <c r="B141">
        <v>0.10199999999999999</v>
      </c>
    </row>
  </sheetData>
  <sheetProtection algorithmName="SHA-512" hashValue="eG/3LUad4GRzpx6zcolJfxMDeej2rHMcgvSAAbL54ZoDEkckQshbqIxs0wpl6o9s/xVwvaSlkcEqaagE9IC4HA==" saltValue="B+ldF4UUuQTUjiAAM8x9DQ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DDB5-033A-7140-83F5-C73EC3E2D3D8}">
  <sheetPr codeName="Tabelle7"/>
  <dimension ref="A1:B17"/>
  <sheetViews>
    <sheetView workbookViewId="0">
      <selection activeCell="C20" sqref="C20"/>
    </sheetView>
  </sheetViews>
  <sheetFormatPr baseColWidth="10" defaultColWidth="10.77734375" defaultRowHeight="15"/>
  <cols>
    <col min="1" max="16384" width="10.77734375" style="2"/>
  </cols>
  <sheetData>
    <row r="1" spans="1:2" ht="15.75">
      <c r="A1" s="5" t="s">
        <v>64</v>
      </c>
      <c r="B1" s="5" t="s">
        <v>65</v>
      </c>
    </row>
    <row r="2" spans="1:2" ht="15.95">
      <c r="A2" s="2">
        <v>100</v>
      </c>
      <c r="B2" s="2">
        <v>25</v>
      </c>
    </row>
    <row r="3" spans="1:2" ht="15.95">
      <c r="A3" s="2">
        <v>120</v>
      </c>
      <c r="B3" s="2">
        <v>30</v>
      </c>
    </row>
    <row r="4" spans="1:2" ht="15.95">
      <c r="A4" s="2">
        <v>140</v>
      </c>
      <c r="B4" s="2">
        <v>35</v>
      </c>
    </row>
    <row r="5" spans="1:2" ht="15.95">
      <c r="A5" s="2">
        <v>160</v>
      </c>
      <c r="B5" s="2">
        <v>40</v>
      </c>
    </row>
    <row r="6" spans="1:2" ht="15.95">
      <c r="A6" s="2">
        <v>180</v>
      </c>
      <c r="B6" s="2">
        <v>45</v>
      </c>
    </row>
    <row r="7" spans="1:2" ht="15.95">
      <c r="A7" s="2">
        <v>200</v>
      </c>
      <c r="B7" s="2">
        <v>50</v>
      </c>
    </row>
    <row r="8" spans="1:2" ht="15.95">
      <c r="A8" s="2">
        <v>220</v>
      </c>
      <c r="B8" s="2">
        <v>55</v>
      </c>
    </row>
    <row r="9" spans="1:2" ht="15.95">
      <c r="A9" s="2">
        <v>240</v>
      </c>
      <c r="B9" s="2">
        <v>60</v>
      </c>
    </row>
    <row r="10" spans="1:2" ht="15.95">
      <c r="A10" s="2">
        <v>260</v>
      </c>
      <c r="B10" s="2">
        <v>65</v>
      </c>
    </row>
    <row r="11" spans="1:2" ht="15.95">
      <c r="A11" s="2">
        <v>280</v>
      </c>
      <c r="B11" s="2">
        <v>70</v>
      </c>
    </row>
    <row r="12" spans="1:2" ht="15.95">
      <c r="A12" s="2">
        <v>300</v>
      </c>
      <c r="B12" s="2">
        <v>75</v>
      </c>
    </row>
    <row r="13" spans="1:2" ht="15.95">
      <c r="A13" s="2">
        <v>320</v>
      </c>
      <c r="B13" s="2">
        <v>80</v>
      </c>
    </row>
    <row r="14" spans="1:2" ht="15.95">
      <c r="A14" s="2">
        <v>340</v>
      </c>
      <c r="B14" s="2">
        <v>85</v>
      </c>
    </row>
    <row r="15" spans="1:2" ht="15.95">
      <c r="A15" s="2">
        <v>360</v>
      </c>
      <c r="B15" s="2">
        <v>90</v>
      </c>
    </row>
    <row r="16" spans="1:2" ht="15.95">
      <c r="A16" s="2">
        <v>380</v>
      </c>
      <c r="B16" s="2">
        <v>95</v>
      </c>
    </row>
    <row r="17" spans="1:2" ht="15.95">
      <c r="A17" s="2">
        <v>400</v>
      </c>
      <c r="B17" s="2">
        <v>100</v>
      </c>
    </row>
  </sheetData>
  <sheetProtection algorithmName="SHA-512" hashValue="hAvG+u6KhDWIz1LvMD5gvKH6RpvlbYDVD3ak6nDVW454tMto4TWtGknt1uFQ4zPy8Zu0mc0l7MW2Ci8Gy1Qq+w==" saltValue="/9cevJ2+mBqU/NsRmJQCY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8E95-7F62-164B-BADC-F49D4C16AD6E}">
  <sheetPr codeName="Tabelle8"/>
  <dimension ref="A1:E12"/>
  <sheetViews>
    <sheetView workbookViewId="0">
      <selection activeCell="C20" sqref="C20"/>
    </sheetView>
  </sheetViews>
  <sheetFormatPr baseColWidth="10" defaultColWidth="10.77734375" defaultRowHeight="15"/>
  <cols>
    <col min="1" max="2" width="9.6640625" customWidth="1"/>
    <col min="3" max="3" width="30.33203125" bestFit="1" customWidth="1"/>
    <col min="5" max="5" width="25.44140625" bestFit="1" customWidth="1"/>
  </cols>
  <sheetData>
    <row r="1" spans="1:5">
      <c r="A1" t="s">
        <v>66</v>
      </c>
      <c r="B1" t="s">
        <v>67</v>
      </c>
      <c r="C1" t="s">
        <v>68</v>
      </c>
      <c r="D1" t="s">
        <v>69</v>
      </c>
      <c r="E1" t="s">
        <v>70</v>
      </c>
    </row>
    <row r="2" spans="1:5">
      <c r="A2" s="2" t="s">
        <v>71</v>
      </c>
      <c r="B2" s="3">
        <v>57</v>
      </c>
      <c r="C2" s="2">
        <v>10</v>
      </c>
      <c r="D2" s="2">
        <v>57</v>
      </c>
      <c r="E2" s="4" t="s">
        <v>72</v>
      </c>
    </row>
    <row r="3" spans="1:5">
      <c r="A3" s="2" t="s">
        <v>38</v>
      </c>
      <c r="B3" s="3">
        <v>57</v>
      </c>
      <c r="C3" s="2">
        <v>12.4</v>
      </c>
      <c r="D3" s="3">
        <v>57</v>
      </c>
      <c r="E3" s="4" t="s">
        <v>72</v>
      </c>
    </row>
    <row r="4" spans="1:5">
      <c r="A4" s="2" t="s">
        <v>73</v>
      </c>
      <c r="B4" s="3">
        <v>57</v>
      </c>
      <c r="C4" s="2">
        <v>14.1</v>
      </c>
      <c r="D4" s="3">
        <v>57</v>
      </c>
      <c r="E4" s="4" t="s">
        <v>72</v>
      </c>
    </row>
    <row r="5" spans="1:5">
      <c r="A5" s="2" t="s">
        <v>74</v>
      </c>
      <c r="B5" s="3">
        <v>57</v>
      </c>
      <c r="C5" s="2">
        <v>14.1</v>
      </c>
      <c r="D5" s="3">
        <v>57</v>
      </c>
      <c r="E5" s="4" t="s">
        <v>72</v>
      </c>
    </row>
    <row r="6" spans="1:5">
      <c r="A6" s="2" t="s">
        <v>75</v>
      </c>
      <c r="B6" s="3">
        <v>60</v>
      </c>
      <c r="C6" s="2">
        <v>13.3</v>
      </c>
      <c r="D6" s="3">
        <v>58.8</v>
      </c>
      <c r="E6" s="4" t="s">
        <v>76</v>
      </c>
    </row>
    <row r="7" spans="1:5">
      <c r="A7" s="2" t="s">
        <v>77</v>
      </c>
      <c r="B7" s="3">
        <v>60</v>
      </c>
      <c r="C7" s="2">
        <v>14.3</v>
      </c>
      <c r="D7" s="3">
        <v>64.599999999999994</v>
      </c>
      <c r="E7" s="4" t="s">
        <v>76</v>
      </c>
    </row>
    <row r="8" spans="1:5">
      <c r="A8" s="2" t="s">
        <v>78</v>
      </c>
      <c r="B8" s="3">
        <v>60</v>
      </c>
      <c r="C8" s="2">
        <v>16</v>
      </c>
      <c r="D8" s="3">
        <v>62.8</v>
      </c>
      <c r="E8" s="4" t="s">
        <v>76</v>
      </c>
    </row>
    <row r="9" spans="1:5">
      <c r="A9" s="2" t="s">
        <v>17</v>
      </c>
      <c r="B9" s="3">
        <v>60</v>
      </c>
      <c r="C9" s="2">
        <v>16</v>
      </c>
      <c r="D9" s="3">
        <v>65.400000000000006</v>
      </c>
      <c r="E9" s="4" t="s">
        <v>76</v>
      </c>
    </row>
    <row r="10" spans="1:5">
      <c r="A10" s="2" t="s">
        <v>79</v>
      </c>
      <c r="B10" s="3">
        <v>60</v>
      </c>
      <c r="C10" s="2">
        <v>18.7</v>
      </c>
      <c r="D10" s="3">
        <v>60.9</v>
      </c>
      <c r="E10" s="4" t="s">
        <v>76</v>
      </c>
    </row>
    <row r="11" spans="1:5">
      <c r="A11" s="2" t="s">
        <v>80</v>
      </c>
      <c r="B11" s="3">
        <v>60</v>
      </c>
      <c r="C11" s="2">
        <v>16.3</v>
      </c>
      <c r="D11" s="3">
        <v>67.3</v>
      </c>
      <c r="E11" s="4" t="s">
        <v>76</v>
      </c>
    </row>
    <row r="12" spans="1:5">
      <c r="A12" s="2" t="s">
        <v>81</v>
      </c>
      <c r="B12" s="3">
        <v>60</v>
      </c>
      <c r="C12" s="2">
        <v>21.3</v>
      </c>
      <c r="D12" s="3">
        <v>60.4</v>
      </c>
      <c r="E12" s="4" t="s">
        <v>76</v>
      </c>
    </row>
  </sheetData>
  <sheetProtection algorithmName="SHA-512" hashValue="kKS2McGJ+ITVi0xqEBGjeXxxOX47TpL77hPMYuytynsieKA0Jhxp9btRUNugkekImM4csjcWxbMQjmDAGkWDDw==" saltValue="OMd6WI+mzu1W+BiZgwHpNw==" spinCount="100000" sheet="1" objects="1" scenarios="1"/>
  <phoneticPr fontId="7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E41D-9B5C-AF45-A6C8-B37C6FADAA66}">
  <sheetPr codeName="Tabelle9"/>
  <dimension ref="A1:A3"/>
  <sheetViews>
    <sheetView workbookViewId="0">
      <selection activeCell="C20" sqref="C20"/>
    </sheetView>
  </sheetViews>
  <sheetFormatPr baseColWidth="10" defaultColWidth="11" defaultRowHeight="15"/>
  <cols>
    <col min="1" max="1" width="14.6640625" bestFit="1" customWidth="1"/>
  </cols>
  <sheetData>
    <row r="1" spans="1:1">
      <c r="A1" t="s">
        <v>66</v>
      </c>
    </row>
    <row r="2" spans="1:1">
      <c r="A2" t="s">
        <v>82</v>
      </c>
    </row>
    <row r="3" spans="1:1">
      <c r="A3" t="s">
        <v>20</v>
      </c>
    </row>
  </sheetData>
  <sheetProtection algorithmName="SHA-512" hashValue="DSbdskCuEoz97ejE6cM47FVuG772quWDmJlsdklCAg5HQdR4ExHSXYOUBCI2t1h+iPPrHNxA9S2+oDG5ln16RQ==" saltValue="LsRImg5MC+rk+TMNmGaRAw==" spinCount="100000" sheet="1" objects="1" scenarios="1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EF335B-1A9D-42A8-AAAD-21590FFDCD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22A154-F72C-460B-99D4-2A4583D41F46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customXml/itemProps3.xml><?xml version="1.0" encoding="utf-8"?>
<ds:datastoreItem xmlns:ds="http://schemas.openxmlformats.org/officeDocument/2006/customXml" ds:itemID="{315F13AA-EDD8-4F1A-AA84-D53B592CE1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Knickfall</vt:lpstr>
      <vt:lpstr>Witterung</vt:lpstr>
      <vt:lpstr>KC_Vollholz</vt:lpstr>
      <vt:lpstr>KC_Brettschichtholz</vt:lpstr>
      <vt:lpstr>C24_Rundholz</vt:lpstr>
      <vt:lpstr>Holz</vt:lpstr>
      <vt:lpstr>Holztyp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Meile Jeremy</dc:creator>
  <cp:keywords/>
  <dc:description/>
  <cp:lastModifiedBy>Jeremy Meile</cp:lastModifiedBy>
  <cp:revision/>
  <dcterms:created xsi:type="dcterms:W3CDTF">2024-08-26T06:47:09Z</dcterms:created>
  <dcterms:modified xsi:type="dcterms:W3CDTF">2024-09-26T16:15:41Z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